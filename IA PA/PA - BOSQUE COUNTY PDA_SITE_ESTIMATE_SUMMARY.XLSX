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vlansfor\Desktop\PDAs\Bosque Co TX PDA\"/>
    </mc:Choice>
  </mc:AlternateContent>
  <bookViews>
    <workbookView xWindow="0" yWindow="2100" windowWidth="11400" windowHeight="5568" firstSheet="1" activeTab="2"/>
  </bookViews>
  <sheets>
    <sheet name="Estimate" sheetId="18" r:id="rId1"/>
    <sheet name="Summary Sheet" sheetId="1" r:id="rId2"/>
    <sheet name="Bosque Co" sheetId="8" r:id="rId3"/>
    <sheet name="Bosque Co (2)" sheetId="16" r:id="rId4"/>
    <sheet name="Clifton" sheetId="17" r:id="rId5"/>
    <sheet name="Clifton(2)" sheetId="20" r:id="rId6"/>
    <sheet name="Valley Mills" sheetId="21" r:id="rId7"/>
    <sheet name="S6" sheetId="22" r:id="rId8"/>
    <sheet name="Time Calc" sheetId="19" r:id="rId9"/>
    <sheet name="FEMAcostcodes" sheetId="23" r:id="rId10"/>
  </sheets>
  <externalReferences>
    <externalReference r:id="rId11"/>
    <externalReference r:id="rId12"/>
    <externalReference r:id="rId13"/>
    <externalReference r:id="rId14"/>
  </externalReferences>
  <definedNames>
    <definedName name="_xlnm._FilterDatabase" localSheetId="9" hidden="1">FEMAcostcodes!$A$2:$I$955</definedName>
    <definedName name="Cat" localSheetId="9">'[1]SITE SHEET'!$V$4:$V$13</definedName>
    <definedName name="Cat">'[2]SITE SHEET'!$V$4:$V$13</definedName>
    <definedName name="Category" localSheetId="9">[1]States!$H$5:$H$13</definedName>
    <definedName name="Category">[2]States!$H$5:$H$13</definedName>
    <definedName name="CostShare" localSheetId="9">[1]States!$K$4:$K$8</definedName>
    <definedName name="CostShare">[2]States!$K$4:$K$8</definedName>
    <definedName name="Disaster_Type" localSheetId="9">[1]States!$J$5:$J$6</definedName>
    <definedName name="Disaster_Type">[2]States!$J$5:$J$6</definedName>
    <definedName name="FEMACC" localSheetId="9">FEMAcostcodes!$A$4:$A$968</definedName>
    <definedName name="FEMACC">[2]CODES!#REF!</definedName>
    <definedName name="FEMACCD" localSheetId="9">FEMAcostcodes!$I$4:$I$968</definedName>
    <definedName name="FEMACCD">[2]CODES!#REF!</definedName>
    <definedName name="FEMACCR" localSheetId="9">FEMAcostcodes!$D$4:$D$968</definedName>
    <definedName name="FEMACCR">[2]CODES!#REF!</definedName>
    <definedName name="FEMACCU" localSheetId="9">FEMAcostcodes!$C$4:$C$968</definedName>
    <definedName name="FEMACCU">[2]CODES!#REF!</definedName>
    <definedName name="femacode" localSheetId="9">FEMAcostcodes!$I$620:$I$961</definedName>
    <definedName name="femacode">[2]CODES!#REF!</definedName>
    <definedName name="FEMAEC" localSheetId="9">FEMAcostcodes!$F$620:$F$961</definedName>
    <definedName name="FEMAEC">[2]CODES!#REF!</definedName>
    <definedName name="FEMAECODE" localSheetId="9">FEMAcostcodes!$A$620:$A$962</definedName>
    <definedName name="FEMAECODE">[2]CODES!#REF!</definedName>
    <definedName name="FEMAEHP" localSheetId="9">FEMAcostcodes!$F$620:$F$961</definedName>
    <definedName name="FEMAEHP">[2]CODES!#REF!</definedName>
    <definedName name="FEMAEN" localSheetId="9">FEMAcostcodes!$E$620:$E$961</definedName>
    <definedName name="FEMAEN">[2]CODES!#REF!</definedName>
    <definedName name="FEMAER" localSheetId="9">FEMAcostcodes!$D$620:$D$961</definedName>
    <definedName name="FEMAER">[2]CODES!#REF!</definedName>
    <definedName name="FEMAES" localSheetId="9">FEMAcostcodes!$D$620:$D$961</definedName>
    <definedName name="FEMAES">[2]CODES!#REF!</definedName>
    <definedName name="OPERATOR" localSheetId="9">OFFSET('[1]PAYROLL DATA'!$B$10,0,0,COUNTA('[1]PAYROLL DATA'!$B:$B),1)</definedName>
    <definedName name="OPERATOR">OFFSET('[2]PAYROLL DATA'!$B$10,0,0,COUNTA('[2]PAYROLL DATA'!$B:$B),1)</definedName>
    <definedName name="OTTYPE" localSheetId="9">'[3]PAYROLL DATA'!#REF!</definedName>
    <definedName name="OTTYPE">'[4]PAYROLL DATA'!#REF!</definedName>
    <definedName name="PAYROLLDATA" localSheetId="9">OFFSET('[1]PAYROLL DATA'!$B$9,0,0,COUNTA('[1]PAYROLL DATA'!$B:$B),1)</definedName>
    <definedName name="PAYROLLDATA">OFFSET('[2]PAYROLL DATA'!$B$9,0,0,COUNTA('[2]PAYROLL DATA'!$B:$B),1)</definedName>
    <definedName name="_xlnm.Print_Area" localSheetId="2">'Bosque Co'!$A$1:$M$62</definedName>
    <definedName name="_xlnm.Print_Area" localSheetId="3">'Bosque Co (2)'!$A$1:$M$62</definedName>
    <definedName name="_xlnm.Print_Area" localSheetId="4">Clifton!$A$1:$M$62</definedName>
    <definedName name="_xlnm.Print_Area" localSheetId="5">'Clifton(2)'!$A$1:$M$62</definedName>
    <definedName name="_xlnm.Print_Area" localSheetId="0">Estimate!$A$1:$H$85</definedName>
    <definedName name="_xlnm.Print_Area" localSheetId="7">'S6'!$A$1:$M$62</definedName>
    <definedName name="_xlnm.Print_Area" localSheetId="1">'Summary Sheet'!$A$1:$J$67</definedName>
    <definedName name="_xlnm.Print_Area" localSheetId="6">'Valley Mills'!$A$1:$M$62</definedName>
    <definedName name="ProjectType" localSheetId="9">[1]Utility!$AW$8:$AW$10</definedName>
    <definedName name="ProjectType">[2]Utility!$AW$8:$AW$10</definedName>
    <definedName name="States" localSheetId="9">[1]States!$A$1:$A$52</definedName>
    <definedName name="States">[2]States!$A$1:$A$52</definedName>
    <definedName name="Yes_No" localSheetId="9">[1]States!$I$5:$I$6</definedName>
    <definedName name="Yes_No">[2]States!$I$5:$I$6</definedName>
  </definedNames>
  <calcPr calcId="152511"/>
</workbook>
</file>

<file path=xl/calcChain.xml><?xml version="1.0" encoding="utf-8"?>
<calcChain xmlns="http://schemas.openxmlformats.org/spreadsheetml/2006/main">
  <c r="J22" i="1" l="1"/>
  <c r="H18" i="1"/>
  <c r="K40" i="17"/>
  <c r="F22" i="1"/>
  <c r="K20" i="20"/>
  <c r="F18" i="1"/>
  <c r="F13" i="1"/>
  <c r="P30" i="17"/>
  <c r="O30" i="17"/>
  <c r="J28" i="1" l="1"/>
  <c r="J23" i="1"/>
  <c r="J18" i="1"/>
  <c r="I39" i="1" l="1"/>
  <c r="I38" i="1"/>
  <c r="I37" i="1"/>
  <c r="I34" i="1"/>
  <c r="I33" i="1"/>
  <c r="I32" i="1"/>
  <c r="I29" i="1"/>
  <c r="I28" i="1"/>
  <c r="I27" i="1"/>
  <c r="I24" i="1"/>
  <c r="I23" i="1"/>
  <c r="I22" i="1"/>
  <c r="I19" i="1"/>
  <c r="I18" i="1"/>
  <c r="I17" i="1"/>
  <c r="G52" i="16"/>
  <c r="G52" i="17"/>
  <c r="G52" i="20"/>
  <c r="G52" i="21"/>
  <c r="G52" i="22"/>
  <c r="K52" i="22"/>
  <c r="D52" i="22"/>
  <c r="A52" i="22"/>
  <c r="K52" i="21"/>
  <c r="D52" i="21"/>
  <c r="A52" i="21"/>
  <c r="K52" i="20"/>
  <c r="D52" i="20"/>
  <c r="A52" i="20"/>
  <c r="K52" i="17"/>
  <c r="D52" i="17"/>
  <c r="A52" i="17"/>
  <c r="K52" i="16"/>
  <c r="D52" i="16"/>
  <c r="A52" i="16"/>
  <c r="A52" i="8"/>
  <c r="D52" i="8"/>
  <c r="K54" i="17"/>
  <c r="K52" i="8"/>
  <c r="I4" i="23"/>
  <c r="I5" i="23"/>
  <c r="I6" i="23"/>
  <c r="I7" i="23"/>
  <c r="I8" i="23"/>
  <c r="I9" i="23"/>
  <c r="I10" i="23"/>
  <c r="I11" i="23"/>
  <c r="I12" i="23"/>
  <c r="I13" i="23"/>
  <c r="I14" i="23"/>
  <c r="I15" i="23"/>
  <c r="I16" i="23"/>
  <c r="I17" i="23"/>
  <c r="I18" i="23"/>
  <c r="I19" i="23"/>
  <c r="I20" i="23"/>
  <c r="I21" i="23"/>
  <c r="I22" i="23"/>
  <c r="I23" i="23"/>
  <c r="I24" i="23"/>
  <c r="I25" i="23"/>
  <c r="I26" i="23"/>
  <c r="I27" i="23"/>
  <c r="I28" i="23"/>
  <c r="I29" i="23"/>
  <c r="I30" i="23"/>
  <c r="I31" i="23"/>
  <c r="I32" i="23"/>
  <c r="I33" i="23"/>
  <c r="I34" i="23"/>
  <c r="I35" i="23"/>
  <c r="I36" i="23"/>
  <c r="I37" i="23"/>
  <c r="I38" i="23"/>
  <c r="I39" i="23"/>
  <c r="I40" i="23"/>
  <c r="I41" i="23"/>
  <c r="I42" i="23"/>
  <c r="I43" i="23"/>
  <c r="I44" i="23"/>
  <c r="I45" i="23"/>
  <c r="I46" i="23"/>
  <c r="I47" i="23"/>
  <c r="I48" i="23"/>
  <c r="I49" i="23"/>
  <c r="I50" i="23"/>
  <c r="I51" i="23"/>
  <c r="I52" i="23"/>
  <c r="I53" i="23"/>
  <c r="I54" i="23"/>
  <c r="I55" i="23"/>
  <c r="I56" i="23"/>
  <c r="I57" i="23"/>
  <c r="I58" i="23"/>
  <c r="I59" i="23"/>
  <c r="I60" i="23"/>
  <c r="I61" i="23"/>
  <c r="I62" i="23"/>
  <c r="I63" i="23"/>
  <c r="I64" i="23"/>
  <c r="I65" i="23"/>
  <c r="I66" i="23"/>
  <c r="I67" i="23"/>
  <c r="I68" i="23"/>
  <c r="I69" i="23"/>
  <c r="I70" i="23"/>
  <c r="I71" i="23"/>
  <c r="I72" i="23"/>
  <c r="I73" i="23"/>
  <c r="I74" i="23"/>
  <c r="I75" i="23"/>
  <c r="I76" i="23"/>
  <c r="I77" i="23"/>
  <c r="I78" i="23"/>
  <c r="I79" i="23"/>
  <c r="I80" i="23"/>
  <c r="I81" i="23"/>
  <c r="I82" i="23"/>
  <c r="I83" i="23"/>
  <c r="I84" i="23"/>
  <c r="I85" i="23"/>
  <c r="I86" i="23"/>
  <c r="I87" i="23"/>
  <c r="I88" i="23"/>
  <c r="I89" i="23"/>
  <c r="I90" i="23"/>
  <c r="I91" i="23"/>
  <c r="I92" i="23"/>
  <c r="I93" i="23"/>
  <c r="I94" i="23"/>
  <c r="I95" i="23"/>
  <c r="I96" i="23"/>
  <c r="I97" i="23"/>
  <c r="I98" i="23"/>
  <c r="I99" i="23"/>
  <c r="I100" i="23"/>
  <c r="I101" i="23"/>
  <c r="I102" i="23"/>
  <c r="I103" i="23"/>
  <c r="I104" i="23"/>
  <c r="I105" i="23"/>
  <c r="I106" i="23"/>
  <c r="I107" i="23"/>
  <c r="I108" i="23"/>
  <c r="I109" i="23"/>
  <c r="I110" i="23"/>
  <c r="I111" i="23"/>
  <c r="I112" i="23"/>
  <c r="I113" i="23"/>
  <c r="I114" i="23"/>
  <c r="I115" i="23"/>
  <c r="I116" i="23"/>
  <c r="I117" i="23"/>
  <c r="I118" i="23"/>
  <c r="I119" i="23"/>
  <c r="I120" i="23"/>
  <c r="I121" i="23"/>
  <c r="I122" i="23"/>
  <c r="I123" i="23"/>
  <c r="I124" i="23"/>
  <c r="I125" i="23"/>
  <c r="I126" i="23"/>
  <c r="I127" i="23"/>
  <c r="I128" i="23"/>
  <c r="I129" i="23"/>
  <c r="I130" i="23"/>
  <c r="I131" i="23"/>
  <c r="I132" i="23"/>
  <c r="I133" i="23"/>
  <c r="I134" i="23"/>
  <c r="I135" i="23"/>
  <c r="I136" i="23"/>
  <c r="I137" i="23"/>
  <c r="I138" i="23"/>
  <c r="I139" i="23"/>
  <c r="I140" i="23"/>
  <c r="I141" i="23"/>
  <c r="I142" i="23"/>
  <c r="I143" i="23"/>
  <c r="I144" i="23"/>
  <c r="I145" i="23"/>
  <c r="I146" i="23"/>
  <c r="I147" i="23"/>
  <c r="I148" i="23"/>
  <c r="I149" i="23"/>
  <c r="I150" i="23"/>
  <c r="I151" i="23"/>
  <c r="I152" i="23"/>
  <c r="I153" i="23"/>
  <c r="I154" i="23"/>
  <c r="I155" i="23"/>
  <c r="I156" i="23"/>
  <c r="I157" i="23"/>
  <c r="I158" i="23"/>
  <c r="I159" i="23"/>
  <c r="I160" i="23"/>
  <c r="I161" i="23"/>
  <c r="I162" i="23"/>
  <c r="I163" i="23"/>
  <c r="I164" i="23"/>
  <c r="I165" i="23"/>
  <c r="I166" i="23"/>
  <c r="I167" i="23"/>
  <c r="I168" i="23"/>
  <c r="I169" i="23"/>
  <c r="I170" i="23"/>
  <c r="I171" i="23"/>
  <c r="I172" i="23"/>
  <c r="I173" i="23"/>
  <c r="I174" i="23"/>
  <c r="I175" i="23"/>
  <c r="I176" i="23"/>
  <c r="I177" i="23"/>
  <c r="I178" i="23"/>
  <c r="I179" i="23"/>
  <c r="I180" i="23"/>
  <c r="I181" i="23"/>
  <c r="I182" i="23"/>
  <c r="I183" i="23"/>
  <c r="I184" i="23"/>
  <c r="I185" i="23"/>
  <c r="I186" i="23"/>
  <c r="I187" i="23"/>
  <c r="I188" i="23"/>
  <c r="I189" i="23"/>
  <c r="I190" i="23"/>
  <c r="I191" i="23"/>
  <c r="I192" i="23"/>
  <c r="I193" i="23"/>
  <c r="I194" i="23"/>
  <c r="I195" i="23"/>
  <c r="I196" i="23"/>
  <c r="I197" i="23"/>
  <c r="I198" i="23"/>
  <c r="I199" i="23"/>
  <c r="I200" i="23"/>
  <c r="I201" i="23"/>
  <c r="I202" i="23"/>
  <c r="I203" i="23"/>
  <c r="I204" i="23"/>
  <c r="I205" i="23"/>
  <c r="I206" i="23"/>
  <c r="I207" i="23"/>
  <c r="I208" i="23"/>
  <c r="I209" i="23"/>
  <c r="I210" i="23"/>
  <c r="I211" i="23"/>
  <c r="I212" i="23"/>
  <c r="I213" i="23"/>
  <c r="I214" i="23"/>
  <c r="I215" i="23"/>
  <c r="I216" i="23"/>
  <c r="I217" i="23"/>
  <c r="I218" i="23"/>
  <c r="I219" i="23"/>
  <c r="I220" i="23"/>
  <c r="I221" i="23"/>
  <c r="I222" i="23"/>
  <c r="I223" i="23"/>
  <c r="I224" i="23"/>
  <c r="I225" i="23"/>
  <c r="I226" i="23"/>
  <c r="I227" i="23"/>
  <c r="I228" i="23"/>
  <c r="I229" i="23"/>
  <c r="I230" i="23"/>
  <c r="I231" i="23"/>
  <c r="I232" i="23"/>
  <c r="I233" i="23"/>
  <c r="I234" i="23"/>
  <c r="I235" i="23"/>
  <c r="I236" i="23"/>
  <c r="I237" i="23"/>
  <c r="I238" i="23"/>
  <c r="I239" i="23"/>
  <c r="I240" i="23"/>
  <c r="I241" i="23"/>
  <c r="I242" i="23"/>
  <c r="I243" i="23"/>
  <c r="I244" i="23"/>
  <c r="I245" i="23"/>
  <c r="I246" i="23"/>
  <c r="I247" i="23"/>
  <c r="I248" i="23"/>
  <c r="I249" i="23"/>
  <c r="I250" i="23"/>
  <c r="I251" i="23"/>
  <c r="I252" i="23"/>
  <c r="I253" i="23"/>
  <c r="I254" i="23"/>
  <c r="I255" i="23"/>
  <c r="I256" i="23"/>
  <c r="I257" i="23"/>
  <c r="I258" i="23"/>
  <c r="I259" i="23"/>
  <c r="I260" i="23"/>
  <c r="I261" i="23"/>
  <c r="I262" i="23"/>
  <c r="I263" i="23"/>
  <c r="I264" i="23"/>
  <c r="I265" i="23"/>
  <c r="I266" i="23"/>
  <c r="I267" i="23"/>
  <c r="I268" i="23"/>
  <c r="I269" i="23"/>
  <c r="I270" i="23"/>
  <c r="I271" i="23"/>
  <c r="I272" i="23"/>
  <c r="I273" i="23"/>
  <c r="I274" i="23"/>
  <c r="I275" i="23"/>
  <c r="I276" i="23"/>
  <c r="I277" i="23"/>
  <c r="I278" i="23"/>
  <c r="I279" i="23"/>
  <c r="I280" i="23"/>
  <c r="I281" i="23"/>
  <c r="I282" i="23"/>
  <c r="I283" i="23"/>
  <c r="I284" i="23"/>
  <c r="I285" i="23"/>
  <c r="I286" i="23"/>
  <c r="I287" i="23"/>
  <c r="I288" i="23"/>
  <c r="I289" i="23"/>
  <c r="I290" i="23"/>
  <c r="I291" i="23"/>
  <c r="I292" i="23"/>
  <c r="I293" i="23"/>
  <c r="I294" i="23"/>
  <c r="I295" i="23"/>
  <c r="I296" i="23"/>
  <c r="I297" i="23"/>
  <c r="I298" i="23"/>
  <c r="I299" i="23"/>
  <c r="I300" i="23"/>
  <c r="I301" i="23"/>
  <c r="I302" i="23"/>
  <c r="I303" i="23"/>
  <c r="I304" i="23"/>
  <c r="I305" i="23"/>
  <c r="I306" i="23"/>
  <c r="I307" i="23"/>
  <c r="I308" i="23"/>
  <c r="I309" i="23"/>
  <c r="I310" i="23"/>
  <c r="I311" i="23"/>
  <c r="I312" i="23"/>
  <c r="I313" i="23"/>
  <c r="I314" i="23"/>
  <c r="I315" i="23"/>
  <c r="I316" i="23"/>
  <c r="I317" i="23"/>
  <c r="I318" i="23"/>
  <c r="I319" i="23"/>
  <c r="I320" i="23"/>
  <c r="I321" i="23"/>
  <c r="I322" i="23"/>
  <c r="I323" i="23"/>
  <c r="I324" i="23"/>
  <c r="I325" i="23"/>
  <c r="I326" i="23"/>
  <c r="I327" i="23"/>
  <c r="I328" i="23"/>
  <c r="I329" i="23"/>
  <c r="I330" i="23"/>
  <c r="I331" i="23"/>
  <c r="I332" i="23"/>
  <c r="I333" i="23"/>
  <c r="I334" i="23"/>
  <c r="I335" i="23"/>
  <c r="I336" i="23"/>
  <c r="I337" i="23"/>
  <c r="I338" i="23"/>
  <c r="I339" i="23"/>
  <c r="I340" i="23"/>
  <c r="I341" i="23"/>
  <c r="I342" i="23"/>
  <c r="I343" i="23"/>
  <c r="I344" i="23"/>
  <c r="I345" i="23"/>
  <c r="I346" i="23"/>
  <c r="I347" i="23"/>
  <c r="I348" i="23"/>
  <c r="I349" i="23"/>
  <c r="I350" i="23"/>
  <c r="I351" i="23"/>
  <c r="I352" i="23"/>
  <c r="I353" i="23"/>
  <c r="I354" i="23"/>
  <c r="I355" i="23"/>
  <c r="I356" i="23"/>
  <c r="I357" i="23"/>
  <c r="I358" i="23"/>
  <c r="I359" i="23"/>
  <c r="I360" i="23"/>
  <c r="I361" i="23"/>
  <c r="I362" i="23"/>
  <c r="I363" i="23"/>
  <c r="I364" i="23"/>
  <c r="I365" i="23"/>
  <c r="I366" i="23"/>
  <c r="I367" i="23"/>
  <c r="I368" i="23"/>
  <c r="I369" i="23"/>
  <c r="I370" i="23"/>
  <c r="I371" i="23"/>
  <c r="I372" i="23"/>
  <c r="I373" i="23"/>
  <c r="I374" i="23"/>
  <c r="I375" i="23"/>
  <c r="I376" i="23"/>
  <c r="I377" i="23"/>
  <c r="I378" i="23"/>
  <c r="I379" i="23"/>
  <c r="I380" i="23"/>
  <c r="I381" i="23"/>
  <c r="I382" i="23"/>
  <c r="I383" i="23"/>
  <c r="I384" i="23"/>
  <c r="I385" i="23"/>
  <c r="I386" i="23"/>
  <c r="I387" i="23"/>
  <c r="I388" i="23"/>
  <c r="I389" i="23"/>
  <c r="I390" i="23"/>
  <c r="I391" i="23"/>
  <c r="I392" i="23"/>
  <c r="I393" i="23"/>
  <c r="I394" i="23"/>
  <c r="I395" i="23"/>
  <c r="I396" i="23"/>
  <c r="I397" i="23"/>
  <c r="I398" i="23"/>
  <c r="I399" i="23"/>
  <c r="I400" i="23"/>
  <c r="I401" i="23"/>
  <c r="I402" i="23"/>
  <c r="I403" i="23"/>
  <c r="I404" i="23"/>
  <c r="I405" i="23"/>
  <c r="I406" i="23"/>
  <c r="I407" i="23"/>
  <c r="I408" i="23"/>
  <c r="I409" i="23"/>
  <c r="I410" i="23"/>
  <c r="I411" i="23"/>
  <c r="I412" i="23"/>
  <c r="I413" i="23"/>
  <c r="I414" i="23"/>
  <c r="I415" i="23"/>
  <c r="I416" i="23"/>
  <c r="I417" i="23"/>
  <c r="I418" i="23"/>
  <c r="I419" i="23"/>
  <c r="I420" i="23"/>
  <c r="I421" i="23"/>
  <c r="I422" i="23"/>
  <c r="I423" i="23"/>
  <c r="I424" i="23"/>
  <c r="I425" i="23"/>
  <c r="I426" i="23"/>
  <c r="I427" i="23"/>
  <c r="I428" i="23"/>
  <c r="I429" i="23"/>
  <c r="I430" i="23"/>
  <c r="I431" i="23"/>
  <c r="I432" i="23"/>
  <c r="I433" i="23"/>
  <c r="I434" i="23"/>
  <c r="I435" i="23"/>
  <c r="I436" i="23"/>
  <c r="I437" i="23"/>
  <c r="I438" i="23"/>
  <c r="I439" i="23"/>
  <c r="I440" i="23"/>
  <c r="I441" i="23"/>
  <c r="I442" i="23"/>
  <c r="I443" i="23"/>
  <c r="I444" i="23"/>
  <c r="I445" i="23"/>
  <c r="I446" i="23"/>
  <c r="I447" i="23"/>
  <c r="I448" i="23"/>
  <c r="I449" i="23"/>
  <c r="I450" i="23"/>
  <c r="I451" i="23"/>
  <c r="I452" i="23"/>
  <c r="I453" i="23"/>
  <c r="I454" i="23"/>
  <c r="I455" i="23"/>
  <c r="I456" i="23"/>
  <c r="I457" i="23"/>
  <c r="I458" i="23"/>
  <c r="I459" i="23"/>
  <c r="I460" i="23"/>
  <c r="I461" i="23"/>
  <c r="I462" i="23"/>
  <c r="I463" i="23"/>
  <c r="I464" i="23"/>
  <c r="I465" i="23"/>
  <c r="I466" i="23"/>
  <c r="I467" i="23"/>
  <c r="I468" i="23"/>
  <c r="I469" i="23"/>
  <c r="I470" i="23"/>
  <c r="I471" i="23"/>
  <c r="I472" i="23"/>
  <c r="I473" i="23"/>
  <c r="I474" i="23"/>
  <c r="I475" i="23"/>
  <c r="I476" i="23"/>
  <c r="I477" i="23"/>
  <c r="I478" i="23"/>
  <c r="I479" i="23"/>
  <c r="I480" i="23"/>
  <c r="I481" i="23"/>
  <c r="I482" i="23"/>
  <c r="I483" i="23"/>
  <c r="I484" i="23"/>
  <c r="I485" i="23"/>
  <c r="I486" i="23"/>
  <c r="I487" i="23"/>
  <c r="I488" i="23"/>
  <c r="I489" i="23"/>
  <c r="I490" i="23"/>
  <c r="I491" i="23"/>
  <c r="I492" i="23"/>
  <c r="I493" i="23"/>
  <c r="I494" i="23"/>
  <c r="I495" i="23"/>
  <c r="I496" i="23"/>
  <c r="I497" i="23"/>
  <c r="I498" i="23"/>
  <c r="I499" i="23"/>
  <c r="I500" i="23"/>
  <c r="I501" i="23"/>
  <c r="I502" i="23"/>
  <c r="I503" i="23"/>
  <c r="I504" i="23"/>
  <c r="I505" i="23"/>
  <c r="I506" i="23"/>
  <c r="I507" i="23"/>
  <c r="I508" i="23"/>
  <c r="I509" i="23"/>
  <c r="I510" i="23"/>
  <c r="I511" i="23"/>
  <c r="I512" i="23"/>
  <c r="I513" i="23"/>
  <c r="I514" i="23"/>
  <c r="I515" i="23"/>
  <c r="I516" i="23"/>
  <c r="I517" i="23"/>
  <c r="I518" i="23"/>
  <c r="I519" i="23"/>
  <c r="I520" i="23"/>
  <c r="I521" i="23"/>
  <c r="I522" i="23"/>
  <c r="I523" i="23"/>
  <c r="I524" i="23"/>
  <c r="I525" i="23"/>
  <c r="I526" i="23"/>
  <c r="I527" i="23"/>
  <c r="I528" i="23"/>
  <c r="I529" i="23"/>
  <c r="I530" i="23"/>
  <c r="I531" i="23"/>
  <c r="I532" i="23"/>
  <c r="I533" i="23"/>
  <c r="I534" i="23"/>
  <c r="I535" i="23"/>
  <c r="I536" i="23"/>
  <c r="I537" i="23"/>
  <c r="I538" i="23"/>
  <c r="I539" i="23"/>
  <c r="I540" i="23"/>
  <c r="I541" i="23"/>
  <c r="I542" i="23"/>
  <c r="I543" i="23"/>
  <c r="I544" i="23"/>
  <c r="I545" i="23"/>
  <c r="I546" i="23"/>
  <c r="I547" i="23"/>
  <c r="I548" i="23"/>
  <c r="I549" i="23"/>
  <c r="I550" i="23"/>
  <c r="I551" i="23"/>
  <c r="I552" i="23"/>
  <c r="I553" i="23"/>
  <c r="I554" i="23"/>
  <c r="I555" i="23"/>
  <c r="I556" i="23"/>
  <c r="I557" i="23"/>
  <c r="I558" i="23"/>
  <c r="I559" i="23"/>
  <c r="I560" i="23"/>
  <c r="I561" i="23"/>
  <c r="I562" i="23"/>
  <c r="I563" i="23"/>
  <c r="I564" i="23"/>
  <c r="I565" i="23"/>
  <c r="I566" i="23"/>
  <c r="I567" i="23"/>
  <c r="I568" i="23"/>
  <c r="I569" i="23"/>
  <c r="I570" i="23"/>
  <c r="I571" i="23"/>
  <c r="I572" i="23"/>
  <c r="I573" i="23"/>
  <c r="I574" i="23"/>
  <c r="I575" i="23"/>
  <c r="I576" i="23"/>
  <c r="I577" i="23"/>
  <c r="I578" i="23"/>
  <c r="I579" i="23"/>
  <c r="I580" i="23"/>
  <c r="I581" i="23"/>
  <c r="I582" i="23"/>
  <c r="I583" i="23"/>
  <c r="I584" i="23"/>
  <c r="I585" i="23"/>
  <c r="I586" i="23"/>
  <c r="I587" i="23"/>
  <c r="I588" i="23"/>
  <c r="I589" i="23"/>
  <c r="I590" i="23"/>
  <c r="I591" i="23"/>
  <c r="I592" i="23"/>
  <c r="I593" i="23"/>
  <c r="I594" i="23"/>
  <c r="I595" i="23"/>
  <c r="I596" i="23"/>
  <c r="I597" i="23"/>
  <c r="I598" i="23"/>
  <c r="I599" i="23"/>
  <c r="I600" i="23"/>
  <c r="I601" i="23"/>
  <c r="I602" i="23"/>
  <c r="I603" i="23"/>
  <c r="I604" i="23"/>
  <c r="I605" i="23"/>
  <c r="I606" i="23"/>
  <c r="I607" i="23"/>
  <c r="I608" i="23"/>
  <c r="I609" i="23"/>
  <c r="I610" i="23"/>
  <c r="I611" i="23"/>
  <c r="I612" i="23"/>
  <c r="I613" i="23"/>
  <c r="I614" i="23"/>
  <c r="I615" i="23"/>
  <c r="I616" i="23"/>
  <c r="I617" i="23"/>
  <c r="I618" i="23"/>
  <c r="I620" i="23"/>
  <c r="I621" i="23"/>
  <c r="I622" i="23"/>
  <c r="I623" i="23"/>
  <c r="I624" i="23"/>
  <c r="I625" i="23"/>
  <c r="I626" i="23"/>
  <c r="I627" i="23"/>
  <c r="I628" i="23"/>
  <c r="I629" i="23"/>
  <c r="I630" i="23"/>
  <c r="I631" i="23"/>
  <c r="I632" i="23"/>
  <c r="I633" i="23"/>
  <c r="I634" i="23"/>
  <c r="I635" i="23"/>
  <c r="I636" i="23"/>
  <c r="I637" i="23"/>
  <c r="I638" i="23"/>
  <c r="I639" i="23"/>
  <c r="I640" i="23"/>
  <c r="I641" i="23"/>
  <c r="I642" i="23"/>
  <c r="I643" i="23"/>
  <c r="I644" i="23"/>
  <c r="I645" i="23"/>
  <c r="I646" i="23"/>
  <c r="I647" i="23"/>
  <c r="I648" i="23"/>
  <c r="I649" i="23"/>
  <c r="I650" i="23"/>
  <c r="I651" i="23"/>
  <c r="I652" i="23"/>
  <c r="I653" i="23"/>
  <c r="I654" i="23"/>
  <c r="I655" i="23"/>
  <c r="I656" i="23"/>
  <c r="I657" i="23"/>
  <c r="I658" i="23"/>
  <c r="I659" i="23"/>
  <c r="I660" i="23"/>
  <c r="I661" i="23"/>
  <c r="I662" i="23"/>
  <c r="I663" i="23"/>
  <c r="I664" i="23"/>
  <c r="I665" i="23"/>
  <c r="I666" i="23"/>
  <c r="I667" i="23"/>
  <c r="I668" i="23"/>
  <c r="I669" i="23"/>
  <c r="I670" i="23"/>
  <c r="I671" i="23"/>
  <c r="I672" i="23"/>
  <c r="I673" i="23"/>
  <c r="I674" i="23"/>
  <c r="I675" i="23"/>
  <c r="I676" i="23"/>
  <c r="I677" i="23"/>
  <c r="I678" i="23"/>
  <c r="I679" i="23"/>
  <c r="I680" i="23"/>
  <c r="I681" i="23"/>
  <c r="I682" i="23"/>
  <c r="I683" i="23"/>
  <c r="I684" i="23"/>
  <c r="I685" i="23"/>
  <c r="I686" i="23"/>
  <c r="I687" i="23"/>
  <c r="I688" i="23"/>
  <c r="I689" i="23"/>
  <c r="I690" i="23"/>
  <c r="I691" i="23"/>
  <c r="I692" i="23"/>
  <c r="I693" i="23"/>
  <c r="I694" i="23"/>
  <c r="I695" i="23"/>
  <c r="I696" i="23"/>
  <c r="I697" i="23"/>
  <c r="I698" i="23"/>
  <c r="I699" i="23"/>
  <c r="I700" i="23"/>
  <c r="I701" i="23"/>
  <c r="I702" i="23"/>
  <c r="I703" i="23"/>
  <c r="I704" i="23"/>
  <c r="I705" i="23"/>
  <c r="I706" i="23"/>
  <c r="I707" i="23"/>
  <c r="I708" i="23"/>
  <c r="I709" i="23"/>
  <c r="I710" i="23"/>
  <c r="I711" i="23"/>
  <c r="I712" i="23"/>
  <c r="I713" i="23"/>
  <c r="I714" i="23"/>
  <c r="I715" i="23"/>
  <c r="I716" i="23"/>
  <c r="I717" i="23"/>
  <c r="I718" i="23"/>
  <c r="I719" i="23"/>
  <c r="I720" i="23"/>
  <c r="I721" i="23"/>
  <c r="I722" i="23"/>
  <c r="I723" i="23"/>
  <c r="I724" i="23"/>
  <c r="I725" i="23"/>
  <c r="I726" i="23"/>
  <c r="I727" i="23"/>
  <c r="I728" i="23"/>
  <c r="I729" i="23"/>
  <c r="I730" i="23"/>
  <c r="I731" i="23"/>
  <c r="I732" i="23"/>
  <c r="I733" i="23"/>
  <c r="I734" i="23"/>
  <c r="I735" i="23"/>
  <c r="I736" i="23"/>
  <c r="I737" i="23"/>
  <c r="I738" i="23"/>
  <c r="I739" i="23"/>
  <c r="I740" i="23"/>
  <c r="I741" i="23"/>
  <c r="I742" i="23"/>
  <c r="I743" i="23"/>
  <c r="I744" i="23"/>
  <c r="I745" i="23"/>
  <c r="I746" i="23"/>
  <c r="I747" i="23"/>
  <c r="I748" i="23"/>
  <c r="I749" i="23"/>
  <c r="I750" i="23"/>
  <c r="I751" i="23"/>
  <c r="I752" i="23"/>
  <c r="I753" i="23"/>
  <c r="I754" i="23"/>
  <c r="I755" i="23"/>
  <c r="I756" i="23"/>
  <c r="I757" i="23"/>
  <c r="I758" i="23"/>
  <c r="I759" i="23"/>
  <c r="I760" i="23"/>
  <c r="I761" i="23"/>
  <c r="I762" i="23"/>
  <c r="I763" i="23"/>
  <c r="I764" i="23"/>
  <c r="I765" i="23"/>
  <c r="I766" i="23"/>
  <c r="I767" i="23"/>
  <c r="I768" i="23"/>
  <c r="I769" i="23"/>
  <c r="I770" i="23"/>
  <c r="I771" i="23"/>
  <c r="I772" i="23"/>
  <c r="I773" i="23"/>
  <c r="I774" i="23"/>
  <c r="I775" i="23"/>
  <c r="I776" i="23"/>
  <c r="I777" i="23"/>
  <c r="I778" i="23"/>
  <c r="I779" i="23"/>
  <c r="I780" i="23"/>
  <c r="I781" i="23"/>
  <c r="I782" i="23"/>
  <c r="I783" i="23"/>
  <c r="I784" i="23"/>
  <c r="I785" i="23"/>
  <c r="I786" i="23"/>
  <c r="I787" i="23"/>
  <c r="I788" i="23"/>
  <c r="I789" i="23"/>
  <c r="I790" i="23"/>
  <c r="I791" i="23"/>
  <c r="I792" i="23"/>
  <c r="I793" i="23"/>
  <c r="I794" i="23"/>
  <c r="I795" i="23"/>
  <c r="I796" i="23"/>
  <c r="I797" i="23"/>
  <c r="I798" i="23"/>
  <c r="I799" i="23"/>
  <c r="I800" i="23"/>
  <c r="I801" i="23"/>
  <c r="I802" i="23"/>
  <c r="I803" i="23"/>
  <c r="I804" i="23"/>
  <c r="I805" i="23"/>
  <c r="I806" i="23"/>
  <c r="I807" i="23"/>
  <c r="I808" i="23"/>
  <c r="I809" i="23"/>
  <c r="I810" i="23"/>
  <c r="I811" i="23"/>
  <c r="I812" i="23"/>
  <c r="I813" i="23"/>
  <c r="I814" i="23"/>
  <c r="I815" i="23"/>
  <c r="I816" i="23"/>
  <c r="I817" i="23"/>
  <c r="I818" i="23"/>
  <c r="I819" i="23"/>
  <c r="I820" i="23"/>
  <c r="I821" i="23"/>
  <c r="I822" i="23"/>
  <c r="I823" i="23"/>
  <c r="I824" i="23"/>
  <c r="I825" i="23"/>
  <c r="I826" i="23"/>
  <c r="I827" i="23"/>
  <c r="I828" i="23"/>
  <c r="I829" i="23"/>
  <c r="I830" i="23"/>
  <c r="I831" i="23"/>
  <c r="I832" i="23"/>
  <c r="I833" i="23"/>
  <c r="I834" i="23"/>
  <c r="I835" i="23"/>
  <c r="I836" i="23"/>
  <c r="I837" i="23"/>
  <c r="I838" i="23"/>
  <c r="I839" i="23"/>
  <c r="I840" i="23"/>
  <c r="I841" i="23"/>
  <c r="I842" i="23"/>
  <c r="I843" i="23"/>
  <c r="I844" i="23"/>
  <c r="I845" i="23"/>
  <c r="I846" i="23"/>
  <c r="I847" i="23"/>
  <c r="I848" i="23"/>
  <c r="I849" i="23"/>
  <c r="I850" i="23"/>
  <c r="I851" i="23"/>
  <c r="I852" i="23"/>
  <c r="I853" i="23"/>
  <c r="I854" i="23"/>
  <c r="I855" i="23"/>
  <c r="I856" i="23"/>
  <c r="I857" i="23"/>
  <c r="I858" i="23"/>
  <c r="I859" i="23"/>
  <c r="I860" i="23"/>
  <c r="I861" i="23"/>
  <c r="I862" i="23"/>
  <c r="I863" i="23"/>
  <c r="I864" i="23"/>
  <c r="I865" i="23"/>
  <c r="I866" i="23"/>
  <c r="I867" i="23"/>
  <c r="I868" i="23"/>
  <c r="I869" i="23"/>
  <c r="I870" i="23"/>
  <c r="I871" i="23"/>
  <c r="I872" i="23"/>
  <c r="I873" i="23"/>
  <c r="I874" i="23"/>
  <c r="I875" i="23"/>
  <c r="I876" i="23"/>
  <c r="I877" i="23"/>
  <c r="I878" i="23"/>
  <c r="I879" i="23"/>
  <c r="I880" i="23"/>
  <c r="I881" i="23"/>
  <c r="I882" i="23"/>
  <c r="I883" i="23"/>
  <c r="I884" i="23"/>
  <c r="I885" i="23"/>
  <c r="I886" i="23"/>
  <c r="I887" i="23"/>
  <c r="I888" i="23"/>
  <c r="I889" i="23"/>
  <c r="I890" i="23"/>
  <c r="I891" i="23"/>
  <c r="I892" i="23"/>
  <c r="I893" i="23"/>
  <c r="I894" i="23"/>
  <c r="I895" i="23"/>
  <c r="I896" i="23"/>
  <c r="I897" i="23"/>
  <c r="I898" i="23"/>
  <c r="I899" i="23"/>
  <c r="I900" i="23"/>
  <c r="I901" i="23"/>
  <c r="I902" i="23"/>
  <c r="I903" i="23"/>
  <c r="I904" i="23"/>
  <c r="I905" i="23"/>
  <c r="I906" i="23"/>
  <c r="I907" i="23"/>
  <c r="I908" i="23"/>
  <c r="I909" i="23"/>
  <c r="I910" i="23"/>
  <c r="I911" i="23"/>
  <c r="I912" i="23"/>
  <c r="I913" i="23"/>
  <c r="I914" i="23"/>
  <c r="I915" i="23"/>
  <c r="I916" i="23"/>
  <c r="I917" i="23"/>
  <c r="I918" i="23"/>
  <c r="I919" i="23"/>
  <c r="I920" i="23"/>
  <c r="I921" i="23"/>
  <c r="I922" i="23"/>
  <c r="I923" i="23"/>
  <c r="I924" i="23"/>
  <c r="I925" i="23"/>
  <c r="I926" i="23"/>
  <c r="I927" i="23"/>
  <c r="I928" i="23"/>
  <c r="I929" i="23"/>
  <c r="I930" i="23"/>
  <c r="I931" i="23"/>
  <c r="I932" i="23"/>
  <c r="I933" i="23"/>
  <c r="I934" i="23"/>
  <c r="I935" i="23"/>
  <c r="I936" i="23"/>
  <c r="I937" i="23"/>
  <c r="I938" i="23"/>
  <c r="I939" i="23"/>
  <c r="I940" i="23"/>
  <c r="I941" i="23"/>
  <c r="I942" i="23"/>
  <c r="I943" i="23"/>
  <c r="I944" i="23"/>
  <c r="I945" i="23"/>
  <c r="I946" i="23"/>
  <c r="I947" i="23"/>
  <c r="I948" i="23"/>
  <c r="I949" i="23"/>
  <c r="I950" i="23"/>
  <c r="I951" i="23"/>
  <c r="I952" i="23"/>
  <c r="I953" i="23"/>
  <c r="I954" i="23"/>
  <c r="I955" i="23"/>
  <c r="K54" i="22" l="1"/>
  <c r="K54" i="21"/>
  <c r="K54" i="20"/>
  <c r="F46" i="19" l="1"/>
  <c r="D46" i="19"/>
  <c r="A46" i="19"/>
  <c r="F45" i="19"/>
  <c r="D45" i="19"/>
  <c r="A45" i="19"/>
  <c r="F44" i="19"/>
  <c r="D44" i="19"/>
  <c r="A44" i="19"/>
  <c r="F43" i="19"/>
  <c r="D43" i="19"/>
  <c r="A43" i="19"/>
  <c r="F42" i="19"/>
  <c r="D42" i="19"/>
  <c r="A42" i="19"/>
  <c r="F41" i="19"/>
  <c r="D41" i="19"/>
  <c r="A41" i="19"/>
  <c r="F40" i="19"/>
  <c r="D40" i="19"/>
  <c r="A40" i="19"/>
  <c r="F39" i="19"/>
  <c r="D39" i="19"/>
  <c r="A39" i="19"/>
  <c r="F38" i="19"/>
  <c r="D38" i="19"/>
  <c r="A38" i="19"/>
  <c r="F37" i="19"/>
  <c r="D37" i="19"/>
  <c r="A37" i="19"/>
  <c r="F36" i="19"/>
  <c r="D36" i="19"/>
  <c r="A36" i="19"/>
  <c r="F35" i="19"/>
  <c r="D35" i="19"/>
  <c r="A35" i="19"/>
  <c r="F34" i="19"/>
  <c r="D34" i="19"/>
  <c r="A34" i="19"/>
  <c r="F33" i="19"/>
  <c r="D33" i="19"/>
  <c r="A33" i="19"/>
  <c r="F32" i="19"/>
  <c r="D32" i="19"/>
  <c r="A32" i="19"/>
  <c r="F31" i="19"/>
  <c r="D31" i="19"/>
  <c r="A31" i="19"/>
  <c r="F30" i="19"/>
  <c r="D30" i="19"/>
  <c r="A30" i="19"/>
  <c r="F29" i="19"/>
  <c r="D29" i="19"/>
  <c r="A29" i="19"/>
  <c r="F28" i="19"/>
  <c r="D28" i="19"/>
  <c r="A28" i="19"/>
  <c r="F27" i="19"/>
  <c r="D27" i="19"/>
  <c r="A27" i="19"/>
  <c r="F26" i="19"/>
  <c r="D26" i="19"/>
  <c r="A26" i="19"/>
  <c r="F25" i="19"/>
  <c r="D25" i="19"/>
  <c r="A25" i="19"/>
  <c r="F24" i="19"/>
  <c r="D24" i="19"/>
  <c r="A24" i="19"/>
  <c r="F23" i="19"/>
  <c r="D23" i="19"/>
  <c r="A23" i="19"/>
  <c r="F22" i="19"/>
  <c r="D22" i="19"/>
  <c r="A22" i="19"/>
  <c r="F21" i="19"/>
  <c r="D21" i="19"/>
  <c r="A21" i="19"/>
  <c r="F20" i="19"/>
  <c r="D20" i="19"/>
  <c r="A20" i="19"/>
  <c r="F19" i="19"/>
  <c r="D19" i="19"/>
  <c r="A19" i="19"/>
  <c r="F18" i="19"/>
  <c r="D18" i="19"/>
  <c r="A18" i="19"/>
  <c r="F17" i="19"/>
  <c r="D17" i="19"/>
  <c r="A17" i="19"/>
  <c r="F16" i="19"/>
  <c r="D16" i="19"/>
  <c r="A16" i="19"/>
  <c r="F15" i="19"/>
  <c r="D15" i="19"/>
  <c r="A15" i="19"/>
  <c r="F14" i="19"/>
  <c r="D14" i="19"/>
  <c r="A14" i="19"/>
  <c r="F13" i="19"/>
  <c r="D13" i="19"/>
  <c r="A13" i="19"/>
  <c r="F12" i="19"/>
  <c r="D12" i="19"/>
  <c r="A12" i="19"/>
  <c r="F11" i="19"/>
  <c r="D11" i="19"/>
  <c r="A11" i="19"/>
  <c r="F10" i="19"/>
  <c r="D10" i="19"/>
  <c r="A10" i="19"/>
  <c r="F9" i="19"/>
  <c r="D9" i="19"/>
  <c r="A9" i="19"/>
  <c r="F8" i="19"/>
  <c r="D8" i="19"/>
  <c r="A8" i="19"/>
  <c r="F7" i="19"/>
  <c r="D7" i="19"/>
  <c r="A7" i="19"/>
  <c r="F6" i="19"/>
  <c r="D6" i="19"/>
  <c r="A6" i="19"/>
  <c r="F5" i="19"/>
  <c r="D5" i="19"/>
  <c r="A5" i="19"/>
  <c r="F4" i="19"/>
  <c r="D4" i="19"/>
  <c r="A4" i="19"/>
  <c r="F3" i="19"/>
  <c r="D3" i="19"/>
  <c r="A3" i="19"/>
  <c r="F2" i="19"/>
  <c r="D2" i="19"/>
  <c r="A2" i="19"/>
  <c r="F1" i="19"/>
  <c r="F48" i="19" s="1"/>
  <c r="D1" i="19"/>
  <c r="A1" i="19"/>
  <c r="E83" i="18" l="1"/>
  <c r="D83" i="18"/>
  <c r="G83" i="18" s="1"/>
  <c r="C83" i="18"/>
  <c r="G82" i="18"/>
  <c r="E82" i="18"/>
  <c r="D82" i="18"/>
  <c r="C82" i="18"/>
  <c r="G81" i="18"/>
  <c r="E81" i="18"/>
  <c r="D81" i="18"/>
  <c r="C81" i="18"/>
  <c r="G80" i="18"/>
  <c r="E80" i="18"/>
  <c r="D80" i="18"/>
  <c r="C80" i="18"/>
  <c r="G79" i="18"/>
  <c r="E79" i="18"/>
  <c r="D79" i="18"/>
  <c r="C79" i="18"/>
  <c r="G78" i="18"/>
  <c r="E78" i="18"/>
  <c r="D78" i="18"/>
  <c r="C78" i="18"/>
  <c r="G77" i="18"/>
  <c r="E77" i="18"/>
  <c r="D77" i="18"/>
  <c r="C77" i="18"/>
  <c r="G76" i="18"/>
  <c r="E76" i="18"/>
  <c r="D76" i="18"/>
  <c r="C76" i="18"/>
  <c r="G75" i="18"/>
  <c r="E75" i="18"/>
  <c r="D75" i="18"/>
  <c r="C75" i="18"/>
  <c r="G74" i="18"/>
  <c r="E74" i="18"/>
  <c r="D74" i="18"/>
  <c r="C74" i="18"/>
  <c r="G73" i="18"/>
  <c r="E73" i="18"/>
  <c r="D73" i="18"/>
  <c r="C73" i="18"/>
  <c r="G72" i="18"/>
  <c r="E72" i="18"/>
  <c r="D72" i="18"/>
  <c r="C72" i="18"/>
  <c r="G71" i="18"/>
  <c r="E71" i="18"/>
  <c r="D71" i="18"/>
  <c r="C71" i="18"/>
  <c r="G70" i="18"/>
  <c r="E70" i="18"/>
  <c r="D70" i="18"/>
  <c r="C70" i="18"/>
  <c r="G69" i="18"/>
  <c r="E69" i="18"/>
  <c r="D69" i="18"/>
  <c r="C69" i="18"/>
  <c r="G68" i="18"/>
  <c r="E68" i="18"/>
  <c r="D68" i="18"/>
  <c r="C68" i="18"/>
  <c r="G67" i="18"/>
  <c r="E67" i="18"/>
  <c r="D67" i="18"/>
  <c r="C67" i="18"/>
  <c r="E49" i="18"/>
  <c r="D49" i="18"/>
  <c r="G49" i="18" s="1"/>
  <c r="C49" i="18"/>
  <c r="E48" i="18"/>
  <c r="D48" i="18"/>
  <c r="G48" i="18" s="1"/>
  <c r="C48" i="18"/>
  <c r="E47" i="18"/>
  <c r="D47" i="18"/>
  <c r="G47" i="18" s="1"/>
  <c r="C47" i="18"/>
  <c r="E46" i="18"/>
  <c r="D46" i="18"/>
  <c r="G46" i="18" s="1"/>
  <c r="C46" i="18"/>
  <c r="E45" i="18"/>
  <c r="D45" i="18"/>
  <c r="G45" i="18" s="1"/>
  <c r="C45" i="18"/>
  <c r="E44" i="18"/>
  <c r="D44" i="18"/>
  <c r="G44" i="18" s="1"/>
  <c r="C44" i="18"/>
  <c r="E43" i="18"/>
  <c r="D43" i="18"/>
  <c r="G43" i="18" s="1"/>
  <c r="C43" i="18"/>
  <c r="E42" i="18"/>
  <c r="D42" i="18"/>
  <c r="G42" i="18" s="1"/>
  <c r="C42" i="18"/>
  <c r="E41" i="18"/>
  <c r="D41" i="18"/>
  <c r="G41" i="18" s="1"/>
  <c r="C41" i="18"/>
  <c r="E40" i="18"/>
  <c r="D40" i="18"/>
  <c r="G40" i="18" s="1"/>
  <c r="C40" i="18"/>
  <c r="E39" i="18"/>
  <c r="D39" i="18"/>
  <c r="G39" i="18" s="1"/>
  <c r="C39" i="18"/>
  <c r="E38" i="18"/>
  <c r="D38" i="18"/>
  <c r="G38" i="18" s="1"/>
  <c r="C38" i="18"/>
  <c r="G5" i="18"/>
  <c r="G6" i="18"/>
  <c r="C139" i="18" l="1"/>
  <c r="C138" i="18"/>
  <c r="C137" i="18"/>
  <c r="C136" i="18"/>
  <c r="C135" i="18"/>
  <c r="C134" i="18"/>
  <c r="C133" i="18"/>
  <c r="C132" i="18"/>
  <c r="C131" i="18"/>
  <c r="C130" i="18"/>
  <c r="C129" i="18"/>
  <c r="C128" i="18"/>
  <c r="C127" i="18"/>
  <c r="C126" i="18"/>
  <c r="C125" i="18"/>
  <c r="C124" i="18"/>
  <c r="C123" i="18"/>
  <c r="C122" i="18"/>
  <c r="C121" i="18"/>
  <c r="C120" i="18"/>
  <c r="C119" i="18"/>
  <c r="C118" i="18"/>
  <c r="C117" i="18"/>
  <c r="C116" i="18"/>
  <c r="C115" i="18"/>
  <c r="C114" i="18"/>
  <c r="C113" i="18"/>
  <c r="C112" i="18"/>
  <c r="C111" i="18"/>
  <c r="C110" i="18"/>
  <c r="C109" i="18"/>
  <c r="C108" i="18"/>
  <c r="C107" i="18"/>
  <c r="C106" i="18"/>
  <c r="C105" i="18"/>
  <c r="C104" i="18"/>
  <c r="C103" i="18"/>
  <c r="C102" i="18"/>
  <c r="C101" i="18"/>
  <c r="C100" i="18"/>
  <c r="C99" i="18"/>
  <c r="C98" i="18"/>
  <c r="C97" i="18"/>
  <c r="C96" i="18"/>
  <c r="C95" i="18"/>
  <c r="C94" i="18"/>
  <c r="C93" i="18"/>
  <c r="C92" i="18"/>
  <c r="C91" i="18"/>
  <c r="C90" i="18"/>
  <c r="C89" i="18"/>
  <c r="C88" i="18"/>
  <c r="C87" i="18"/>
  <c r="C86" i="18"/>
  <c r="C85" i="18"/>
  <c r="E84" i="18"/>
  <c r="D84" i="18"/>
  <c r="G84" i="18" s="1"/>
  <c r="C84" i="18"/>
  <c r="E66" i="18"/>
  <c r="D66" i="18"/>
  <c r="G66" i="18" s="1"/>
  <c r="C66" i="18"/>
  <c r="E65" i="18"/>
  <c r="D65" i="18"/>
  <c r="G65" i="18" s="1"/>
  <c r="C65" i="18"/>
  <c r="E64" i="18"/>
  <c r="D64" i="18"/>
  <c r="G64" i="18" s="1"/>
  <c r="C64" i="18"/>
  <c r="E63" i="18"/>
  <c r="D63" i="18"/>
  <c r="G63" i="18" s="1"/>
  <c r="C63" i="18"/>
  <c r="E62" i="18"/>
  <c r="D62" i="18"/>
  <c r="G62" i="18" s="1"/>
  <c r="C62" i="18"/>
  <c r="E61" i="18"/>
  <c r="D61" i="18"/>
  <c r="G61" i="18" s="1"/>
  <c r="C61" i="18"/>
  <c r="E60" i="18"/>
  <c r="D60" i="18"/>
  <c r="G60" i="18" s="1"/>
  <c r="C60" i="18"/>
  <c r="E59" i="18"/>
  <c r="D59" i="18"/>
  <c r="G59" i="18" s="1"/>
  <c r="C59" i="18"/>
  <c r="E58" i="18"/>
  <c r="D58" i="18"/>
  <c r="G58" i="18" s="1"/>
  <c r="C58" i="18"/>
  <c r="E57" i="18"/>
  <c r="D57" i="18"/>
  <c r="G57" i="18" s="1"/>
  <c r="C57" i="18"/>
  <c r="E56" i="18"/>
  <c r="D56" i="18"/>
  <c r="G56" i="18" s="1"/>
  <c r="C56" i="18"/>
  <c r="E55" i="18"/>
  <c r="D55" i="18"/>
  <c r="G55" i="18" s="1"/>
  <c r="C55" i="18"/>
  <c r="E54" i="18"/>
  <c r="D54" i="18"/>
  <c r="G54" i="18" s="1"/>
  <c r="C54" i="18"/>
  <c r="E53" i="18"/>
  <c r="D53" i="18"/>
  <c r="G53" i="18" s="1"/>
  <c r="C53" i="18"/>
  <c r="E52" i="18"/>
  <c r="D52" i="18"/>
  <c r="G52" i="18" s="1"/>
  <c r="C52" i="18"/>
  <c r="E51" i="18"/>
  <c r="D51" i="18"/>
  <c r="G51" i="18" s="1"/>
  <c r="C51" i="18"/>
  <c r="E50" i="18"/>
  <c r="D50" i="18"/>
  <c r="G50" i="18" s="1"/>
  <c r="C50" i="18"/>
  <c r="E37" i="18"/>
  <c r="D37" i="18"/>
  <c r="G37" i="18" s="1"/>
  <c r="C37" i="18"/>
  <c r="E36" i="18"/>
  <c r="D36" i="18"/>
  <c r="G36" i="18" s="1"/>
  <c r="C36" i="18"/>
  <c r="E35" i="18"/>
  <c r="D35" i="18"/>
  <c r="G35" i="18" s="1"/>
  <c r="C35" i="18"/>
  <c r="E34" i="18"/>
  <c r="D34" i="18"/>
  <c r="G34" i="18" s="1"/>
  <c r="C34" i="18"/>
  <c r="E33" i="18"/>
  <c r="D33" i="18"/>
  <c r="G33" i="18" s="1"/>
  <c r="C33" i="18"/>
  <c r="E32" i="18"/>
  <c r="D32" i="18"/>
  <c r="G32" i="18" s="1"/>
  <c r="C32" i="18"/>
  <c r="E31" i="18"/>
  <c r="D31" i="18"/>
  <c r="G31" i="18" s="1"/>
  <c r="C31" i="18"/>
  <c r="E30" i="18"/>
  <c r="D30" i="18"/>
  <c r="G30" i="18" s="1"/>
  <c r="G4" i="18" s="1"/>
  <c r="C30" i="18"/>
  <c r="E29" i="18"/>
  <c r="D29" i="18"/>
  <c r="G29" i="18" s="1"/>
  <c r="C29" i="18"/>
  <c r="E28" i="18"/>
  <c r="D28" i="18"/>
  <c r="G28" i="18" s="1"/>
  <c r="C28" i="18"/>
  <c r="E27" i="18"/>
  <c r="D27" i="18"/>
  <c r="G27" i="18" s="1"/>
  <c r="C27" i="18"/>
  <c r="E26" i="18"/>
  <c r="D26" i="18"/>
  <c r="G26" i="18" s="1"/>
  <c r="C26" i="18"/>
  <c r="E25" i="18"/>
  <c r="D25" i="18"/>
  <c r="G25" i="18" s="1"/>
  <c r="C25" i="18"/>
  <c r="E24" i="18"/>
  <c r="D24" i="18"/>
  <c r="G24" i="18" s="1"/>
  <c r="C24" i="18"/>
  <c r="G23" i="18"/>
  <c r="E23" i="18"/>
  <c r="D23" i="18"/>
  <c r="C23" i="18"/>
  <c r="G22" i="18"/>
  <c r="E22" i="18"/>
  <c r="D22" i="18"/>
  <c r="C22" i="18"/>
  <c r="E21" i="18"/>
  <c r="D21" i="18"/>
  <c r="G21" i="18" s="1"/>
  <c r="C21" i="18"/>
  <c r="E20" i="18"/>
  <c r="D20" i="18"/>
  <c r="G20" i="18" s="1"/>
  <c r="C20" i="18"/>
  <c r="E19" i="18"/>
  <c r="D19" i="18"/>
  <c r="G19" i="18" s="1"/>
  <c r="C19" i="18"/>
  <c r="E18" i="18"/>
  <c r="D18" i="18"/>
  <c r="G18" i="18" s="1"/>
  <c r="C18" i="18"/>
  <c r="E17" i="18"/>
  <c r="D17" i="18"/>
  <c r="G17" i="18" s="1"/>
  <c r="C17" i="18"/>
  <c r="E16" i="18"/>
  <c r="D16" i="18"/>
  <c r="G16" i="18" s="1"/>
  <c r="C16" i="18"/>
  <c r="E15" i="18"/>
  <c r="D15" i="18"/>
  <c r="G15" i="18" s="1"/>
  <c r="C15" i="18"/>
  <c r="E14" i="18"/>
  <c r="D14" i="18"/>
  <c r="G14" i="18" s="1"/>
  <c r="C14" i="18"/>
  <c r="E13" i="18"/>
  <c r="D13" i="18"/>
  <c r="G13" i="18" s="1"/>
  <c r="C13" i="18"/>
  <c r="E12" i="18"/>
  <c r="D12" i="18"/>
  <c r="G12" i="18" s="1"/>
  <c r="C12" i="18"/>
  <c r="E11" i="18"/>
  <c r="D11" i="18"/>
  <c r="G11" i="18" s="1"/>
  <c r="C11" i="18"/>
  <c r="G85" i="18" l="1"/>
  <c r="G3" i="18"/>
  <c r="G2" i="18"/>
  <c r="K54" i="16"/>
  <c r="I14" i="1"/>
  <c r="J25" i="1"/>
  <c r="J38" i="1"/>
  <c r="J37" i="1"/>
  <c r="J40" i="1" s="1"/>
  <c r="J34" i="1"/>
  <c r="J33" i="1"/>
  <c r="J32" i="1"/>
  <c r="J35" i="1" s="1"/>
  <c r="J29" i="1"/>
  <c r="J30" i="1" s="1"/>
  <c r="J19" i="1"/>
  <c r="J20" i="1" s="1"/>
  <c r="J14" i="1"/>
  <c r="J13" i="1"/>
  <c r="I13" i="1"/>
  <c r="K54" i="8"/>
  <c r="J15" i="1" l="1"/>
  <c r="J44" i="1" s="1"/>
  <c r="G7" i="18"/>
</calcChain>
</file>

<file path=xl/sharedStrings.xml><?xml version="1.0" encoding="utf-8"?>
<sst xmlns="http://schemas.openxmlformats.org/spreadsheetml/2006/main" count="6235" uniqueCount="2904">
  <si>
    <t>Population</t>
  </si>
  <si>
    <t>Category</t>
  </si>
  <si>
    <t>A</t>
  </si>
  <si>
    <t>B</t>
  </si>
  <si>
    <t>C</t>
  </si>
  <si>
    <t>D</t>
  </si>
  <si>
    <t>E</t>
  </si>
  <si>
    <t>F</t>
  </si>
  <si>
    <t>G</t>
  </si>
  <si>
    <t>Debris</t>
  </si>
  <si>
    <t># of Sites</t>
  </si>
  <si>
    <t>Total Cost</t>
  </si>
  <si>
    <t>Inspected</t>
  </si>
  <si>
    <t xml:space="preserve">Projected </t>
  </si>
  <si>
    <t>Total</t>
  </si>
  <si>
    <t>Critical Facilities and Other Damages</t>
  </si>
  <si>
    <t>Cost</t>
  </si>
  <si>
    <t>Emergency and Permanent Work Total</t>
  </si>
  <si>
    <t xml:space="preserve"> </t>
  </si>
  <si>
    <t>Emergency repairs have been made to open roads and bridges to vehicle traffic.</t>
  </si>
  <si>
    <t>Financial burden to applicant and slow permanent repair timeframe.</t>
  </si>
  <si>
    <t>Emergency vehicles, school bus and postal services unable to perform mission due to road and bridge wash out.</t>
  </si>
  <si>
    <t>Road and bridge washed out.</t>
  </si>
  <si>
    <t>Federal Emergency Management Agency</t>
  </si>
  <si>
    <t>Date</t>
  </si>
  <si>
    <t>Preliminary Damage Assessment Site Estimate</t>
  </si>
  <si>
    <t>Part 1 - Applicant Information</t>
  </si>
  <si>
    <t>County</t>
  </si>
  <si>
    <t>Name Of Applicant</t>
  </si>
  <si>
    <t>Name Of Local Contact</t>
  </si>
  <si>
    <t>Part 2 - Site Information</t>
  </si>
  <si>
    <t>Key For Damage Category (Use appropriate letters in the "category" blocks below)</t>
  </si>
  <si>
    <t>a. Debris Removal</t>
  </si>
  <si>
    <t>d. Water Control Facilities</t>
  </si>
  <si>
    <t>g. Other Recreation</t>
  </si>
  <si>
    <t>b. Protective Measures</t>
  </si>
  <si>
    <t>e. Public Buildings</t>
  </si>
  <si>
    <t>c. Roads And Bridges</t>
  </si>
  <si>
    <t>f. Public Utilities</t>
  </si>
  <si>
    <t>Site No.</t>
  </si>
  <si>
    <t>Description Of Damage</t>
  </si>
  <si>
    <t>Impact:</t>
  </si>
  <si>
    <t>% Complete</t>
  </si>
  <si>
    <t>Cost Estimate</t>
  </si>
  <si>
    <t>Name Of Inspector</t>
  </si>
  <si>
    <t>Agency</t>
  </si>
  <si>
    <t>Phone No. Office</t>
  </si>
  <si>
    <t>FEMA Form 90-81, Jan 84</t>
  </si>
  <si>
    <t xml:space="preserve">Name of Local Contact </t>
  </si>
  <si>
    <t>Levee</t>
  </si>
  <si>
    <t>Prot. Measures</t>
  </si>
  <si>
    <t>Bridge</t>
  </si>
  <si>
    <t>Roadway</t>
  </si>
  <si>
    <t>Aggregate surface loss only</t>
  </si>
  <si>
    <t>Drainage Channel</t>
  </si>
  <si>
    <t>Water Treatment</t>
  </si>
  <si>
    <t>Sewage Treatment</t>
  </si>
  <si>
    <t>Total Budget</t>
  </si>
  <si>
    <t>Cat C Sub-total</t>
  </si>
  <si>
    <t>Cat D Sub-total</t>
  </si>
  <si>
    <t>Cat E Sub-total</t>
  </si>
  <si>
    <t>Cat F Sub-total</t>
  </si>
  <si>
    <t>Cat G Sub-total</t>
  </si>
  <si>
    <t>Dam</t>
  </si>
  <si>
    <r>
      <t xml:space="preserve">1. </t>
    </r>
    <r>
      <rPr>
        <sz val="8"/>
        <rFont val="Arial"/>
        <family val="2"/>
      </rPr>
      <t xml:space="preserve">Asphalt (3100) $5.30/SY/IN                                                                       </t>
    </r>
  </si>
  <si>
    <r>
      <t>4.</t>
    </r>
    <r>
      <rPr>
        <sz val="8"/>
        <rFont val="Arial"/>
        <family val="2"/>
      </rPr>
      <t xml:space="preserve"> Chip &amp; Seal Single (3080) $1.55/SY         </t>
    </r>
  </si>
  <si>
    <r>
      <t>5.</t>
    </r>
    <r>
      <rPr>
        <sz val="8"/>
        <rFont val="Arial"/>
        <family val="2"/>
      </rPr>
      <t xml:space="preserve"> Chip &amp; Seal Double (3081) $2.79/SY </t>
    </r>
  </si>
  <si>
    <r>
      <t xml:space="preserve">6. </t>
    </r>
    <r>
      <rPr>
        <sz val="8"/>
        <rFont val="Arial"/>
        <family val="2"/>
      </rPr>
      <t>Chip &amp; Seal Triple (3082) $4.03/SY</t>
    </r>
  </si>
  <si>
    <r>
      <t>7.</t>
    </r>
    <r>
      <rPr>
        <sz val="8"/>
        <rFont val="Arial"/>
        <family val="2"/>
      </rPr>
      <t xml:space="preserve"> Fill Unclas (3020) $7/CY</t>
    </r>
  </si>
  <si>
    <r>
      <t>9.</t>
    </r>
    <r>
      <rPr>
        <sz val="8"/>
        <rFont val="Arial"/>
        <family val="2"/>
      </rPr>
      <t xml:space="preserve"> Rip Rap (3250) $35/CY </t>
    </r>
  </si>
  <si>
    <r>
      <t>8.</t>
    </r>
    <r>
      <rPr>
        <sz val="8"/>
        <rFont val="Arial"/>
        <family val="2"/>
      </rPr>
      <t xml:space="preserve"> Grading Roads (3072) $0.10/SY</t>
    </r>
  </si>
  <si>
    <r>
      <t>10.</t>
    </r>
    <r>
      <rPr>
        <sz val="8"/>
        <rFont val="Arial"/>
        <family val="2"/>
      </rPr>
      <t xml:space="preserve"> Bridge Railing 3" (3294) $35/LF</t>
    </r>
  </si>
  <si>
    <r>
      <t>18.</t>
    </r>
    <r>
      <rPr>
        <sz val="8"/>
        <rFont val="Arial"/>
        <family val="2"/>
      </rPr>
      <t xml:space="preserve"> CMP 120" (3364) $175/LF</t>
    </r>
  </si>
  <si>
    <r>
      <t>13.</t>
    </r>
    <r>
      <rPr>
        <sz val="8"/>
        <rFont val="Arial"/>
        <family val="2"/>
      </rPr>
      <t xml:space="preserve"> CMP 24" (3354) $30/LF</t>
    </r>
  </si>
  <si>
    <r>
      <t>14.</t>
    </r>
    <r>
      <rPr>
        <sz val="8"/>
        <rFont val="Arial"/>
        <family val="2"/>
      </rPr>
      <t xml:space="preserve"> CMP 36" (3354) $41/LF</t>
    </r>
  </si>
  <si>
    <r>
      <t>15.</t>
    </r>
    <r>
      <rPr>
        <sz val="8"/>
        <rFont val="Arial"/>
        <family val="2"/>
      </rPr>
      <t xml:space="preserve"> CMP 48" (3358) $62/LF</t>
    </r>
  </si>
  <si>
    <r>
      <t>16.</t>
    </r>
    <r>
      <rPr>
        <sz val="8"/>
        <rFont val="Arial"/>
        <family val="2"/>
      </rPr>
      <t xml:space="preserve"> CMP 60" (3354) $76/LF</t>
    </r>
  </si>
  <si>
    <r>
      <t>17.</t>
    </r>
    <r>
      <rPr>
        <sz val="8"/>
        <rFont val="Arial"/>
        <family val="2"/>
      </rPr>
      <t xml:space="preserve"> CMP 72" (3354) $115/LF</t>
    </r>
  </si>
  <si>
    <r>
      <t>2.</t>
    </r>
    <r>
      <rPr>
        <sz val="8"/>
        <rFont val="Arial"/>
        <family val="2"/>
      </rPr>
      <t xml:space="preserve"> Aggregate Surface (3011) $13/CY                                                 </t>
    </r>
  </si>
  <si>
    <r>
      <t xml:space="preserve">3. </t>
    </r>
    <r>
      <rPr>
        <sz val="8"/>
        <rFont val="Arial"/>
        <family val="2"/>
      </rPr>
      <t>Aggregate Base (3091) $19.50/CY</t>
    </r>
  </si>
  <si>
    <t>GRAND TOTAL</t>
  </si>
  <si>
    <t>GPS</t>
  </si>
  <si>
    <t>Location (Use map location, address, etc.):</t>
  </si>
  <si>
    <t>Contact Phone #</t>
  </si>
  <si>
    <r>
      <t>11.</t>
    </r>
    <r>
      <rPr>
        <sz val="8"/>
        <rFont val="Arial"/>
        <family val="2"/>
      </rPr>
      <t xml:space="preserve"> Debris C&amp;D (1012) $3.50/CY  </t>
    </r>
  </si>
  <si>
    <r>
      <t>12.</t>
    </r>
    <r>
      <rPr>
        <sz val="8"/>
        <rFont val="Arial"/>
        <family val="2"/>
      </rPr>
      <t xml:space="preserve"> Debris Veg. (1015) $6/CY  </t>
    </r>
  </si>
  <si>
    <t>PRELIMINARY DAMAGE ASSESSMENT SUMMARY</t>
  </si>
  <si>
    <t>Part II - Site Estimate Summary</t>
  </si>
  <si>
    <t>DEPARTMENT OF HOMELAND SECURITY</t>
  </si>
  <si>
    <t>FEDERAL EMERGENCY MANAGEMENT</t>
  </si>
  <si>
    <r>
      <t xml:space="preserve">Part lll - Disaster Impacts </t>
    </r>
    <r>
      <rPr>
        <b/>
        <i/>
        <sz val="9"/>
        <rFont val="Arial"/>
        <family val="2"/>
      </rPr>
      <t>(Use separate sheets if necessary)</t>
    </r>
  </si>
  <si>
    <t>Name of Inspector</t>
  </si>
  <si>
    <t>Signature of Inspector</t>
  </si>
  <si>
    <t>Phone Number</t>
  </si>
  <si>
    <t>A. General Impact</t>
  </si>
  <si>
    <t>1.  Briefly describe damages which constitute a health and safety hazard to the general public.</t>
  </si>
  <si>
    <t>3.  What economic activities are adversely affected by the loss of public facilities or damages?</t>
  </si>
  <si>
    <r>
      <t xml:space="preserve">B. Response Capability </t>
    </r>
    <r>
      <rPr>
        <b/>
        <i/>
        <sz val="9"/>
        <rFont val="Arial"/>
        <family val="2"/>
      </rPr>
      <t>(use other side of page when necessary)</t>
    </r>
  </si>
  <si>
    <r>
      <t xml:space="preserve">C. Impact on Public Services if Declaration Not Made </t>
    </r>
    <r>
      <rPr>
        <b/>
        <i/>
        <sz val="9"/>
        <rFont val="Arial"/>
        <family val="2"/>
      </rPr>
      <t>(use other side of page when necessary)</t>
    </r>
  </si>
  <si>
    <t>1. Can the Applicant respond and recover from the damages quickly and without degradation of public services? Please explain.</t>
  </si>
  <si>
    <t>1. Discuss the need, if any to defer permanent repairs and the impact on ongoing services.</t>
  </si>
  <si>
    <t>Potential Applicant/Public Entity</t>
  </si>
  <si>
    <t>Maintenance Budget</t>
  </si>
  <si>
    <t>21. Bus, Large (8182) $30.00/HR</t>
  </si>
  <si>
    <t>22. Auto Police (8073) $14.35/HR</t>
  </si>
  <si>
    <t>23. CMD Center (9999) $339/HR</t>
  </si>
  <si>
    <t>24. Helo, Rescue (9999) $6277/HR</t>
  </si>
  <si>
    <t>19. Pickup (8804) $19.90/HR</t>
  </si>
  <si>
    <t>20. Trailer, 30 T (8600) $9.90/HR</t>
  </si>
  <si>
    <t>25. Boat RBS (9999) $323/HR</t>
  </si>
  <si>
    <t>26. Boat Utility (9999) $980/HR</t>
  </si>
  <si>
    <t>27. Person, Vol. (9999) $10/HR</t>
  </si>
  <si>
    <t>28. Canine &amp; Handler (9999) $30/HR</t>
  </si>
  <si>
    <t>Cat A &amp; B Emergency work sub-total</t>
  </si>
  <si>
    <t>Other Recreation</t>
  </si>
  <si>
    <t>Public Utilities</t>
  </si>
  <si>
    <t>Public Buildings</t>
  </si>
  <si>
    <t>Water Control Facilities</t>
  </si>
  <si>
    <t>Roads and Bridges</t>
  </si>
  <si>
    <t>GRAND TOTAL SHEET 2</t>
  </si>
  <si>
    <t xml:space="preserve">Population unable to transit from home to work, economic impact for local businesses to distribute materials, food </t>
  </si>
  <si>
    <t>products, etc.</t>
  </si>
  <si>
    <t>Insured</t>
  </si>
  <si>
    <t>Needs Mitigation</t>
  </si>
  <si>
    <t>* NEEDS MITIGATION</t>
  </si>
  <si>
    <t>Phone No.CELL</t>
  </si>
  <si>
    <t>Multiple</t>
  </si>
  <si>
    <t>Multiple (individual sheets)</t>
  </si>
  <si>
    <t>Water Utility</t>
  </si>
  <si>
    <t>Railroad</t>
  </si>
  <si>
    <t>Fence</t>
  </si>
  <si>
    <t>(various)</t>
  </si>
  <si>
    <t>2.  Population adversely affected directly or indirectly by loss of public facilities or damages.</t>
  </si>
  <si>
    <t>Cost Code</t>
  </si>
  <si>
    <t>Description</t>
  </si>
  <si>
    <t>Unit Cost</t>
  </si>
  <si>
    <t>Unit</t>
  </si>
  <si>
    <t>Quantity</t>
  </si>
  <si>
    <t>Sub Total</t>
  </si>
  <si>
    <t>Comments</t>
  </si>
  <si>
    <r>
      <rPr>
        <sz val="8"/>
        <color rgb="FF231F20"/>
        <rFont val="Arial"/>
        <family val="34"/>
      </rPr>
      <t>LS</t>
    </r>
  </si>
  <si>
    <r>
      <rPr>
        <sz val="8"/>
        <color rgb="FF231F20"/>
        <rFont val="Arial"/>
        <family val="34"/>
      </rPr>
      <t xml:space="preserve">******************************************
</t>
    </r>
    <r>
      <rPr>
        <sz val="8"/>
        <color rgb="FF231F20"/>
        <rFont val="Arial"/>
        <family val="34"/>
      </rPr>
      <t>create line</t>
    </r>
  </si>
  <si>
    <r>
      <rPr>
        <sz val="8"/>
        <color rgb="FF231F20"/>
        <rFont val="Arial"/>
        <family val="34"/>
      </rPr>
      <t>$ 0.00</t>
    </r>
  </si>
  <si>
    <r>
      <rPr>
        <sz val="8"/>
        <color rgb="FF231F20"/>
        <rFont val="Arial"/>
        <family val="34"/>
      </rPr>
      <t>STATE MANAGEMENT COSTS</t>
    </r>
  </si>
  <si>
    <r>
      <rPr>
        <sz val="8"/>
        <color rgb="FF231F20"/>
        <rFont val="Arial"/>
        <family val="34"/>
      </rPr>
      <t>State Management Costs</t>
    </r>
  </si>
  <si>
    <r>
      <rPr>
        <sz val="8"/>
        <color rgb="FF231F20"/>
        <rFont val="Arial"/>
        <family val="34"/>
      </rPr>
      <t>MITIGATION</t>
    </r>
  </si>
  <si>
    <r>
      <rPr>
        <sz val="8"/>
        <color rgb="FF231F20"/>
        <rFont val="Arial"/>
        <family val="34"/>
      </rPr>
      <t>Mitigation</t>
    </r>
  </si>
  <si>
    <r>
      <rPr>
        <sz val="8"/>
        <color rgb="FF231F20"/>
        <rFont val="Arial"/>
        <family val="34"/>
      </rPr>
      <t>TON</t>
    </r>
  </si>
  <si>
    <r>
      <rPr>
        <sz val="8"/>
        <color rgb="FF231F20"/>
        <rFont val="Arial"/>
        <family val="34"/>
      </rPr>
      <t>DEBRIS (SEDIMENTS, CONCENTRATED)</t>
    </r>
  </si>
  <si>
    <r>
      <rPr>
        <sz val="8"/>
        <color rgb="FF231F20"/>
        <rFont val="Arial"/>
        <family val="34"/>
      </rPr>
      <t>Debris, sediments, concentrated</t>
    </r>
  </si>
  <si>
    <r>
      <rPr>
        <sz val="8"/>
        <color rgb="FF231F20"/>
        <rFont val="Arial"/>
        <family val="34"/>
      </rPr>
      <t>DEBRIS, (SEDIMENTS, SCATTERED)</t>
    </r>
  </si>
  <si>
    <r>
      <rPr>
        <sz val="8"/>
        <color rgb="FF231F20"/>
        <rFont val="Arial"/>
        <family val="34"/>
      </rPr>
      <t>Debris, (sedimetns, scattered)</t>
    </r>
  </si>
  <si>
    <r>
      <rPr>
        <sz val="8"/>
        <color rgb="FF231F20"/>
        <rFont val="Arial"/>
        <family val="34"/>
      </rPr>
      <t>DEBRIS (PERSONAL PROPERTY CURB)</t>
    </r>
  </si>
  <si>
    <r>
      <rPr>
        <sz val="8"/>
        <color rgb="FF231F20"/>
        <rFont val="Arial"/>
        <family val="34"/>
      </rPr>
      <t>Should not be limited to private residences. Labor and equipment required</t>
    </r>
  </si>
  <si>
    <r>
      <rPr>
        <sz val="8"/>
        <color rgb="FF231F20"/>
        <rFont val="Arial"/>
        <family val="34"/>
      </rPr>
      <t xml:space="preserve">to remove damaged personal property. Property such as furniture or
</t>
    </r>
    <r>
      <rPr>
        <sz val="8"/>
        <color rgb="FF231F20"/>
        <rFont val="Arial"/>
        <family val="34"/>
      </rPr>
      <t>appliances, from curb side of private residences. Does not include dump</t>
    </r>
  </si>
  <si>
    <r>
      <rPr>
        <sz val="8"/>
        <color rgb="FF231F20"/>
        <rFont val="Arial"/>
        <family val="34"/>
      </rPr>
      <t>charges.</t>
    </r>
  </si>
  <si>
    <r>
      <rPr>
        <sz val="8"/>
        <color rgb="FF231F20"/>
        <rFont val="Arial"/>
        <family val="34"/>
      </rPr>
      <t>DEBRIS (TREES &amp; LIMBS, CONCENTRATED)</t>
    </r>
  </si>
  <si>
    <r>
      <rPr>
        <sz val="8"/>
        <color rgb="FF231F20"/>
        <rFont val="Arial"/>
        <family val="34"/>
      </rPr>
      <t>Broken trees and limbs that have been picked up and brought to an</t>
    </r>
  </si>
  <si>
    <r>
      <rPr>
        <sz val="8"/>
        <color rgb="FF231F20"/>
        <rFont val="Arial"/>
        <family val="34"/>
      </rPr>
      <t>assembly area. May also include localized heavy tree damage in a park or</t>
    </r>
  </si>
  <si>
    <r>
      <rPr>
        <sz val="8"/>
        <color rgb="FF231F20"/>
        <rFont val="Arial"/>
        <family val="34"/>
      </rPr>
      <t>other location,</t>
    </r>
  </si>
  <si>
    <r>
      <rPr>
        <sz val="8"/>
        <color rgb="FF231F20"/>
        <rFont val="Arial"/>
        <family val="34"/>
      </rPr>
      <t>DEBRIS (TREES &amp; LIMBS, SCATTERED)</t>
    </r>
  </si>
  <si>
    <r>
      <rPr>
        <sz val="8"/>
        <color rgb="FF231F20"/>
        <rFont val="Arial"/>
        <family val="34"/>
      </rPr>
      <t>Debris, (trees &amp; limbs, scattered)</t>
    </r>
  </si>
  <si>
    <r>
      <rPr>
        <sz val="8"/>
        <color rgb="FF231F20"/>
        <rFont val="Arial"/>
        <family val="34"/>
      </rPr>
      <t>CY</t>
    </r>
  </si>
  <si>
    <r>
      <rPr>
        <sz val="8"/>
        <color rgb="FF231F20"/>
        <rFont val="Arial"/>
        <family val="34"/>
      </rPr>
      <t>DEBRIS, (SEDIMENTS, CONCENTRATED)</t>
    </r>
  </si>
  <si>
    <r>
      <rPr>
        <sz val="8"/>
        <color rgb="FF231F20"/>
        <rFont val="Arial"/>
        <family val="34"/>
      </rPr>
      <t>$ 3.00</t>
    </r>
  </si>
  <si>
    <r>
      <rPr>
        <sz val="8"/>
        <color rgb="FF231F20"/>
        <rFont val="Arial"/>
        <family val="34"/>
      </rPr>
      <t>Removal of concentrated sediment</t>
    </r>
  </si>
  <si>
    <r>
      <rPr>
        <sz val="8"/>
        <color rgb="FF231F20"/>
        <rFont val="Arial"/>
        <family val="34"/>
      </rPr>
      <t>$ 4.00</t>
    </r>
  </si>
  <si>
    <r>
      <rPr>
        <sz val="8"/>
        <color rgb="FF231F20"/>
        <rFont val="Arial"/>
        <family val="34"/>
      </rPr>
      <t>Removal of scattered sediments</t>
    </r>
  </si>
  <si>
    <r>
      <rPr>
        <sz val="8"/>
        <color rgb="FF231F20"/>
        <rFont val="Arial"/>
        <family val="34"/>
      </rPr>
      <t>$ 3.50</t>
    </r>
  </si>
  <si>
    <r>
      <rPr>
        <sz val="8"/>
        <color rgb="FF231F20"/>
        <rFont val="Arial"/>
        <family val="34"/>
      </rPr>
      <t>to remove damaged personal property, such as furniture or appliances,</t>
    </r>
  </si>
  <si>
    <r>
      <rPr>
        <sz val="8"/>
        <color rgb="FF231F20"/>
        <rFont val="Arial"/>
        <family val="34"/>
      </rPr>
      <t>from curb side of private residences. Does not include dump charges.</t>
    </r>
  </si>
  <si>
    <r>
      <rPr>
        <sz val="8"/>
        <color rgb="FF231F20"/>
        <rFont val="Arial"/>
        <family val="34"/>
      </rPr>
      <t>DEBRIS (TREES &amp; LIMBS, SCATTERED</t>
    </r>
  </si>
  <si>
    <r>
      <rPr>
        <sz val="8"/>
        <color rgb="FF231F20"/>
        <rFont val="Arial"/>
        <family val="34"/>
      </rPr>
      <t>$ 6.00</t>
    </r>
  </si>
  <si>
    <r>
      <rPr>
        <sz val="8"/>
        <color rgb="FF231F20"/>
        <rFont val="Arial"/>
        <family val="34"/>
      </rPr>
      <t>Broken trees and limbs scattered around affected area.</t>
    </r>
  </si>
  <si>
    <r>
      <rPr>
        <sz val="8"/>
        <color rgb="FF231F20"/>
        <rFont val="Arial"/>
        <family val="34"/>
      </rPr>
      <t>MI</t>
    </r>
  </si>
  <si>
    <r>
      <rPr>
        <sz val="8"/>
        <color rgb="FF231F20"/>
        <rFont val="Arial"/>
        <family val="34"/>
      </rPr>
      <t>DEBRIS (W INDBLOW N TREES ALONG ROW -MAXIMUM DENSITY)</t>
    </r>
  </si>
  <si>
    <r>
      <rPr>
        <sz val="8"/>
        <color rgb="FF231F20"/>
        <rFont val="Arial"/>
        <family val="34"/>
      </rPr>
      <t>$ 5,000.00</t>
    </r>
  </si>
  <si>
    <r>
      <rPr>
        <sz val="8"/>
        <color rgb="FF231F20"/>
        <rFont val="Arial"/>
        <family val="34"/>
      </rPr>
      <t>In a major disaster there may be extensive debris from trees and limbs</t>
    </r>
  </si>
  <si>
    <r>
      <rPr>
        <sz val="8"/>
        <color rgb="FF231F20"/>
        <rFont val="Arial"/>
        <family val="34"/>
      </rPr>
      <t>over several miles of roads or streets.</t>
    </r>
  </si>
  <si>
    <r>
      <rPr>
        <sz val="8"/>
        <color rgb="FF231F20"/>
        <rFont val="Arial"/>
        <family val="34"/>
      </rPr>
      <t>DEBRIS LOADED AND HAULED TO TDRS</t>
    </r>
  </si>
  <si>
    <r>
      <rPr>
        <sz val="8"/>
        <color rgb="FF231F20"/>
        <rFont val="Arial"/>
        <family val="34"/>
      </rPr>
      <t>$ 11.25</t>
    </r>
  </si>
  <si>
    <r>
      <rPr>
        <sz val="8"/>
        <color rgb="FF231F20"/>
        <rFont val="Arial"/>
        <family val="34"/>
      </rPr>
      <t>Debris loaded and hauled to TDRS (Temporary Debris Reduction Site)</t>
    </r>
  </si>
  <si>
    <r>
      <rPr>
        <sz val="8"/>
        <color rgb="FF231F20"/>
        <rFont val="Arial"/>
        <family val="34"/>
      </rPr>
      <t>DEBRIS (W ATERWAY STRUCTURE)</t>
    </r>
  </si>
  <si>
    <r>
      <rPr>
        <sz val="8"/>
        <color rgb="FF231F20"/>
        <rFont val="Arial"/>
        <family val="34"/>
      </rPr>
      <t>$ 8.00</t>
    </r>
  </si>
  <si>
    <r>
      <rPr>
        <sz val="8"/>
        <color rgb="FF231F20"/>
        <rFont val="Arial"/>
        <family val="34"/>
      </rPr>
      <t>Debris that has been deposited by floodwater on levees, dams,settling</t>
    </r>
  </si>
  <si>
    <r>
      <rPr>
        <sz val="8"/>
        <color rgb="FF231F20"/>
        <rFont val="Arial"/>
        <family val="34"/>
      </rPr>
      <t>basins, etc. May consist of silt, vegetation, wreckage, etc., causing flow</t>
    </r>
  </si>
  <si>
    <r>
      <rPr>
        <sz val="8"/>
        <color rgb="FF231F20"/>
        <rFont val="Arial"/>
        <family val="34"/>
      </rPr>
      <t>problems.</t>
    </r>
  </si>
  <si>
    <r>
      <rPr>
        <sz val="8"/>
        <color rgb="FF231F20"/>
        <rFont val="Arial"/>
        <family val="34"/>
      </rPr>
      <t>DEBRIS (CRADLE TO GRAVE REMOVAL)</t>
    </r>
  </si>
  <si>
    <r>
      <rPr>
        <sz val="8"/>
        <color rgb="FF231F20"/>
        <rFont val="Arial"/>
        <family val="34"/>
      </rPr>
      <t>$ 20.00</t>
    </r>
  </si>
  <si>
    <r>
      <rPr>
        <sz val="8"/>
        <color rgb="FF231F20"/>
        <rFont val="Arial"/>
        <family val="34"/>
      </rPr>
      <t>Applicant contracts for "cradle to grave", removal of debris from Right-of-</t>
    </r>
  </si>
  <si>
    <r>
      <rPr>
        <sz val="8"/>
        <color rgb="FF231F20"/>
        <rFont val="Arial"/>
        <family val="34"/>
      </rPr>
      <t>W ay, chipping and disposal. (Does not include tipping fees)</t>
    </r>
  </si>
  <si>
    <r>
      <rPr>
        <sz val="8"/>
        <color rgb="FF231F20"/>
        <rFont val="Arial"/>
        <family val="34"/>
      </rPr>
      <t>DEBRIS FROM RIGHT-OF-W AY AND CHIPS</t>
    </r>
  </si>
  <si>
    <r>
      <rPr>
        <sz val="8"/>
        <color rgb="FF231F20"/>
        <rFont val="Arial"/>
        <family val="34"/>
      </rPr>
      <t>$ 75.00</t>
    </r>
  </si>
  <si>
    <r>
      <rPr>
        <sz val="8"/>
        <color rgb="FF231F20"/>
        <rFont val="Arial"/>
        <family val="34"/>
      </rPr>
      <t>$ 150.00</t>
    </r>
  </si>
  <si>
    <t>Grand Total</t>
  </si>
  <si>
    <r>
      <rPr>
        <sz val="8"/>
        <color rgb="FF231F20"/>
        <rFont val="Arial"/>
        <family val="34"/>
      </rPr>
      <t>Trees, broken uprooted 19-36" Diameter.</t>
    </r>
  </si>
  <si>
    <r>
      <rPr>
        <sz val="8"/>
        <color rgb="FF231F20"/>
        <rFont val="Arial"/>
        <family val="34"/>
      </rPr>
      <t>EA</t>
    </r>
  </si>
  <si>
    <r>
      <rPr>
        <sz val="8"/>
        <color rgb="FF231F20"/>
        <rFont val="Arial"/>
        <family val="34"/>
      </rPr>
      <t>DEBRIS (REMOVAL OF HANGERS FROM RIGHT-OF-W AY)</t>
    </r>
  </si>
  <si>
    <r>
      <rPr>
        <sz val="8"/>
        <color rgb="FF231F20"/>
        <rFont val="Arial"/>
        <family val="34"/>
      </rPr>
      <t>$ 72.00</t>
    </r>
  </si>
  <si>
    <r>
      <rPr>
        <sz val="8"/>
        <color rgb="FF231F20"/>
        <rFont val="Arial"/>
        <family val="34"/>
      </rPr>
      <t>Removal of hangers from right-of-way. (Cost is for per tree)</t>
    </r>
  </si>
  <si>
    <t>HAZARDOUS TREE REMOVAL: 6" TO 11.99"
Debris, hazardous tree removal, CROWN must be damage more than
50%.</t>
  </si>
  <si>
    <r>
      <rPr>
        <sz val="8"/>
        <color rgb="FF231F20"/>
        <rFont val="Arial"/>
        <family val="34"/>
      </rPr>
      <t>$ 165.00</t>
    </r>
  </si>
  <si>
    <r>
      <rPr>
        <sz val="8"/>
        <color rgb="FF231F20"/>
        <rFont val="Arial"/>
        <family val="34"/>
      </rPr>
      <t xml:space="preserve">HAZARDOUS TREE REMOVAL, 12" TO 23.99"
</t>
    </r>
    <r>
      <rPr>
        <sz val="8"/>
        <color rgb="FF231F20"/>
        <rFont val="Arial"/>
        <family val="34"/>
      </rPr>
      <t>Debris, hazardous tree removal, CROW N must be damage more than</t>
    </r>
  </si>
  <si>
    <r>
      <rPr>
        <sz val="8"/>
        <color rgb="FF231F20"/>
        <rFont val="Arial"/>
        <family val="34"/>
      </rPr>
      <t>$ 475.00</t>
    </r>
  </si>
  <si>
    <r>
      <rPr>
        <sz val="8"/>
        <color rgb="FF231F20"/>
        <rFont val="Arial"/>
        <family val="34"/>
      </rPr>
      <t>50%.</t>
    </r>
  </si>
  <si>
    <r>
      <rPr>
        <sz val="8"/>
        <color rgb="FF231F20"/>
        <rFont val="Arial"/>
        <family val="34"/>
      </rPr>
      <t>HAZARDOUS TREE REMOVAL: 24" TO 35.99"</t>
    </r>
  </si>
  <si>
    <r>
      <rPr>
        <sz val="8"/>
        <color rgb="FF231F20"/>
        <rFont val="Arial"/>
        <family val="34"/>
      </rPr>
      <t>$ 800.00</t>
    </r>
  </si>
  <si>
    <r>
      <rPr>
        <sz val="8"/>
        <color rgb="FF231F20"/>
        <rFont val="Arial"/>
        <family val="34"/>
      </rPr>
      <t>Debris, hazardous tree removal. CROW N must be damage more than</t>
    </r>
  </si>
  <si>
    <r>
      <rPr>
        <sz val="8"/>
        <color rgb="FF231F20"/>
        <rFont val="Arial"/>
        <family val="34"/>
      </rPr>
      <t>50%</t>
    </r>
  </si>
  <si>
    <r>
      <rPr>
        <sz val="8"/>
        <color rgb="FF231F20"/>
        <rFont val="Arial"/>
        <family val="34"/>
      </rPr>
      <t>HAZARDOUS TREE REMOVAL: 36" TO 47.99"</t>
    </r>
  </si>
  <si>
    <r>
      <rPr>
        <sz val="8"/>
        <color rgb="FF231F20"/>
        <rFont val="Arial"/>
        <family val="34"/>
      </rPr>
      <t>$ 1,000.00</t>
    </r>
  </si>
  <si>
    <r>
      <rPr>
        <sz val="8"/>
        <color rgb="FF231F20"/>
        <rFont val="Arial"/>
        <family val="34"/>
      </rPr>
      <t>HAZARDOUS TREE REMOVAL: 48" TO 55.99"</t>
    </r>
  </si>
  <si>
    <r>
      <rPr>
        <sz val="8"/>
        <color rgb="FF231F20"/>
        <rFont val="Arial"/>
        <family val="34"/>
      </rPr>
      <t>$ 2,100.00</t>
    </r>
  </si>
  <si>
    <r>
      <rPr>
        <sz val="8"/>
        <color rgb="FF231F20"/>
        <rFont val="Arial"/>
        <family val="34"/>
      </rPr>
      <t>HAZARDOUS TREE REMOVAL: 56" AND GREATER</t>
    </r>
  </si>
  <si>
    <r>
      <rPr>
        <sz val="8"/>
        <color rgb="FF231F20"/>
        <rFont val="Arial"/>
        <family val="34"/>
      </rPr>
      <t>$ 2,600.00</t>
    </r>
  </si>
  <si>
    <r>
      <rPr>
        <sz val="8"/>
        <color rgb="FF231F20"/>
        <rFont val="Arial"/>
        <family val="34"/>
      </rPr>
      <t>DEBRIS STUMPS ONLY (UPROOTED 8-18" DIAMETER)</t>
    </r>
  </si>
  <si>
    <r>
      <rPr>
        <sz val="8"/>
        <color rgb="FF231F20"/>
        <rFont val="Arial"/>
        <family val="34"/>
      </rPr>
      <t>$ 23.00</t>
    </r>
  </si>
  <si>
    <r>
      <rPr>
        <sz val="8"/>
        <color rgb="FF231F20"/>
        <rFont val="Arial"/>
        <family val="34"/>
      </rPr>
      <t>Removal of stumps from uprooted trees. To be used only when stumps</t>
    </r>
  </si>
  <si>
    <r>
      <rPr>
        <sz val="8"/>
        <color rgb="FF231F20"/>
        <rFont val="Arial"/>
        <family val="34"/>
      </rPr>
      <t>interfere with ground use. Not to be used in forested area.</t>
    </r>
  </si>
  <si>
    <r>
      <rPr>
        <sz val="8"/>
        <color rgb="FF231F20"/>
        <rFont val="Arial"/>
        <family val="34"/>
      </rPr>
      <t>DEBRIS STUMPS ONLY (UPROOTED 19-36" DIAMETER)</t>
    </r>
  </si>
  <si>
    <r>
      <rPr>
        <sz val="8"/>
        <color rgb="FF231F20"/>
        <rFont val="Arial"/>
        <family val="34"/>
      </rPr>
      <t>$ 28.00</t>
    </r>
  </si>
  <si>
    <r>
      <rPr>
        <sz val="8"/>
        <color rgb="FF231F20"/>
        <rFont val="Arial"/>
        <family val="34"/>
      </rPr>
      <t>interfere with ground use. Not to be used in forested areas.</t>
    </r>
  </si>
  <si>
    <r>
      <rPr>
        <sz val="8"/>
        <color rgb="FF231F20"/>
        <rFont val="Arial"/>
        <family val="34"/>
      </rPr>
      <t>HAZARDOUS TREE 13"-18"</t>
    </r>
  </si>
  <si>
    <r>
      <rPr>
        <sz val="8"/>
        <color rgb="FF231F20"/>
        <rFont val="Arial"/>
        <family val="34"/>
      </rPr>
      <t>$ 200.00</t>
    </r>
  </si>
  <si>
    <r>
      <rPr>
        <sz val="8"/>
        <color rgb="FF231F20"/>
        <rFont val="Arial"/>
        <family val="34"/>
      </rPr>
      <t>Hazardous tree 13'-18"</t>
    </r>
  </si>
  <si>
    <r>
      <rPr>
        <sz val="8"/>
        <color rgb="FF231F20"/>
        <rFont val="Arial"/>
        <family val="34"/>
      </rPr>
      <t>DUMP CHARGES (BURN - BURY)</t>
    </r>
  </si>
  <si>
    <r>
      <rPr>
        <sz val="8"/>
        <color rgb="FF231F20"/>
        <rFont val="Arial"/>
        <family val="34"/>
      </rPr>
      <t>$ 1.00</t>
    </r>
  </si>
  <si>
    <r>
      <rPr>
        <sz val="8"/>
        <color rgb="FF231F20"/>
        <rFont val="Arial"/>
        <family val="34"/>
      </rPr>
      <t>Normally the least expensive way to dispose</t>
    </r>
  </si>
  <si>
    <r>
      <rPr>
        <sz val="8"/>
        <color rgb="FF231F20"/>
        <rFont val="Arial"/>
        <family val="34"/>
      </rPr>
      <t>DUMP CHARGES (LANDFILL DISPOSAL)</t>
    </r>
  </si>
  <si>
    <r>
      <rPr>
        <sz val="8"/>
        <color rgb="FF231F20"/>
        <rFont val="Arial"/>
        <family val="34"/>
      </rPr>
      <t>$ 1.75</t>
    </r>
  </si>
  <si>
    <r>
      <rPr>
        <sz val="8"/>
        <color rgb="FF231F20"/>
        <rFont val="Arial"/>
        <family val="34"/>
      </rPr>
      <t>Fees charged for debris disposal in recognized landfills. Check for</t>
    </r>
  </si>
  <si>
    <r>
      <rPr>
        <sz val="8"/>
        <color rgb="FF231F20"/>
        <rFont val="Arial"/>
        <family val="34"/>
      </rPr>
      <t>variations in cost.</t>
    </r>
  </si>
  <si>
    <r>
      <rPr>
        <sz val="8"/>
        <color rgb="FF231F20"/>
        <rFont val="Arial"/>
        <family val="34"/>
      </rPr>
      <t>Same as Code 1051 except measured in TON.</t>
    </r>
  </si>
  <si>
    <r>
      <rPr>
        <sz val="8"/>
        <color rgb="FF231F20"/>
        <rFont val="Arial"/>
        <family val="34"/>
      </rPr>
      <t>DEBRIS CONTAINERS (W /O DUMP CHARGES) 2 CY PER PICKUP</t>
    </r>
  </si>
  <si>
    <r>
      <rPr>
        <sz val="8"/>
        <color rgb="FF231F20"/>
        <rFont val="Arial"/>
        <family val="34"/>
      </rPr>
      <t>$ 5.00</t>
    </r>
  </si>
  <si>
    <r>
      <rPr>
        <sz val="8"/>
        <color rgb="FF231F20"/>
        <rFont val="Arial"/>
        <family val="34"/>
      </rPr>
      <t>Debris Containers (w/o dump charges) 2 cy per pickup</t>
    </r>
  </si>
  <si>
    <r>
      <rPr>
        <sz val="8"/>
        <color rgb="FF231F20"/>
        <rFont val="Arial"/>
        <family val="34"/>
      </rPr>
      <t>DEBRIS CONTAINERS (W /O DUMP CHARGES) 3 CY PER PICKUP</t>
    </r>
  </si>
  <si>
    <r>
      <rPr>
        <sz val="8"/>
        <color rgb="FF231F20"/>
        <rFont val="Arial"/>
        <family val="34"/>
      </rPr>
      <t>$ 7.50</t>
    </r>
  </si>
  <si>
    <r>
      <rPr>
        <sz val="8"/>
        <color rgb="FF231F20"/>
        <rFont val="Arial"/>
        <family val="34"/>
      </rPr>
      <t>Debris Containers (w/o dump charges) 3 cy per pickup.</t>
    </r>
  </si>
  <si>
    <r>
      <rPr>
        <sz val="8"/>
        <color rgb="FF231F20"/>
        <rFont val="Arial"/>
        <family val="34"/>
      </rPr>
      <t>DEBRIS CONTAINERS (W /O DUMP CHARGES) 4 CY PER PICKUP</t>
    </r>
  </si>
  <si>
    <r>
      <rPr>
        <sz val="8"/>
        <color rgb="FF231F20"/>
        <rFont val="Arial"/>
        <family val="34"/>
      </rPr>
      <t>$ 10.00</t>
    </r>
  </si>
  <si>
    <r>
      <rPr>
        <sz val="8"/>
        <color rgb="FF231F20"/>
        <rFont val="Arial"/>
        <family val="34"/>
      </rPr>
      <t>Debris Containers (w/o dump charges) 4 cy per pickup</t>
    </r>
  </si>
  <si>
    <r>
      <rPr>
        <sz val="8"/>
        <color rgb="FF231F20"/>
        <rFont val="Arial"/>
        <family val="34"/>
      </rPr>
      <t>DEBRIS CONTAINERS (W /O DUMP CHARGES) 8 CY PER PICKUP</t>
    </r>
  </si>
  <si>
    <r>
      <rPr>
        <sz val="8"/>
        <color rgb="FF231F20"/>
        <rFont val="Arial"/>
        <family val="34"/>
      </rPr>
      <t>Debris containers (w/o dump charges) 8 cy per pickup</t>
    </r>
  </si>
  <si>
    <r>
      <rPr>
        <sz val="8"/>
        <color rgb="FF231F20"/>
        <rFont val="Arial"/>
        <family val="34"/>
      </rPr>
      <t>DEBRIS CONTAINERS (W /O DUMP CHARGES) 20 CY PER PICKUP</t>
    </r>
  </si>
  <si>
    <r>
      <rPr>
        <sz val="8"/>
        <color rgb="FF231F20"/>
        <rFont val="Arial"/>
        <family val="34"/>
      </rPr>
      <t>$ 155.00</t>
    </r>
  </si>
  <si>
    <r>
      <rPr>
        <sz val="8"/>
        <color rgb="FF231F20"/>
        <rFont val="Arial"/>
        <family val="34"/>
      </rPr>
      <t>Debris containers (w/o dump charges) 29 cy per pickup.</t>
    </r>
  </si>
  <si>
    <r>
      <rPr>
        <sz val="8"/>
        <color rgb="FF231F20"/>
        <rFont val="Arial"/>
        <family val="34"/>
      </rPr>
      <t>DEBRIS CONTAINERS (W /O DUMP CHARGES) 30 CY PER PICKUP</t>
    </r>
  </si>
  <si>
    <r>
      <rPr>
        <sz val="8"/>
        <color rgb="FF231F20"/>
        <rFont val="Arial"/>
        <family val="34"/>
      </rPr>
      <t>Debris containers (w/o dump charges) 30 cy per pickup.</t>
    </r>
  </si>
  <si>
    <r>
      <rPr>
        <sz val="8"/>
        <color rgb="FF231F20"/>
        <rFont val="Arial"/>
        <family val="34"/>
      </rPr>
      <t>DEBRIS CONTAINERS (W /O DUMP CHARGES) 40 CY PER PICKUP</t>
    </r>
  </si>
  <si>
    <r>
      <rPr>
        <sz val="8"/>
        <color rgb="FF231F20"/>
        <rFont val="Arial"/>
        <family val="34"/>
      </rPr>
      <t>$ 175.00</t>
    </r>
  </si>
  <si>
    <r>
      <rPr>
        <sz val="8"/>
        <color rgb="FF231F20"/>
        <rFont val="Arial"/>
        <family val="34"/>
      </rPr>
      <t>Debris containers (w/o dump charges) 40 cy per pickup</t>
    </r>
  </si>
  <si>
    <r>
      <rPr>
        <sz val="8"/>
        <color rgb="FF231F20"/>
        <rFont val="Arial"/>
        <family val="34"/>
      </rPr>
      <t>DEBRIS CONTAINERS (W /O DUMP CHARGES) 50 CY PER PICKUP</t>
    </r>
  </si>
  <si>
    <r>
      <rPr>
        <sz val="8"/>
        <color rgb="FF231F20"/>
        <rFont val="Arial"/>
        <family val="34"/>
      </rPr>
      <t>Debris containers (w/o dump charges) 50 cy per pickup.</t>
    </r>
  </si>
  <si>
    <r>
      <rPr>
        <sz val="8"/>
        <color rgb="FF231F20"/>
        <rFont val="Arial"/>
        <family val="34"/>
      </rPr>
      <t>DEBRIS (SANDBAGS - MACHINE LOAD</t>
    </r>
  </si>
  <si>
    <r>
      <rPr>
        <sz val="8"/>
        <color rgb="FF231F20"/>
        <rFont val="Arial"/>
        <family val="34"/>
      </rPr>
      <t>$ 3.40</t>
    </r>
  </si>
  <si>
    <r>
      <rPr>
        <sz val="8"/>
        <color rgb="FF231F20"/>
        <rFont val="Arial"/>
        <family val="34"/>
      </rPr>
      <t>Removal of sandbags when no longer needed. May be removed by front-</t>
    </r>
  </si>
  <si>
    <r>
      <rPr>
        <sz val="8"/>
        <color rgb="FF231F20"/>
        <rFont val="Arial"/>
        <family val="34"/>
      </rPr>
      <t>end loader or other suitable machine.</t>
    </r>
  </si>
  <si>
    <r>
      <rPr>
        <sz val="8"/>
        <color rgb="FF231F20"/>
        <rFont val="Arial"/>
        <family val="34"/>
      </rPr>
      <t>DEBRIS (SANDBAGS - HAND LOAD)</t>
    </r>
  </si>
  <si>
    <r>
      <rPr>
        <sz val="8"/>
        <color rgb="FF231F20"/>
        <rFont val="Arial"/>
        <family val="34"/>
      </rPr>
      <t>$ 4.50</t>
    </r>
  </si>
  <si>
    <r>
      <rPr>
        <sz val="8"/>
        <color rgb="FF231F20"/>
        <rFont val="Arial"/>
        <family val="34"/>
      </rPr>
      <t>Same as Code 1070 except sandbags are loaded on trucks by hand labor.</t>
    </r>
  </si>
  <si>
    <r>
      <rPr>
        <sz val="8"/>
        <color rgb="FF231F20"/>
        <rFont val="Arial"/>
        <family val="34"/>
      </rPr>
      <t>DEBRIS (FLOATABLE ON LEVEE)</t>
    </r>
  </si>
  <si>
    <r>
      <rPr>
        <sz val="8"/>
        <color rgb="FF231F20"/>
        <rFont val="Arial"/>
        <family val="34"/>
      </rPr>
      <t>$ 400.00</t>
    </r>
  </si>
  <si>
    <r>
      <rPr>
        <sz val="8"/>
        <color rgb="FF231F20"/>
        <rFont val="Arial"/>
        <family val="34"/>
      </rPr>
      <t>Primarily vegetation including trees. This is a general debris code for</t>
    </r>
  </si>
  <si>
    <r>
      <rPr>
        <sz val="8"/>
        <color rgb="FF231F20"/>
        <rFont val="Arial"/>
        <family val="34"/>
      </rPr>
      <t>levees by the mile. If debris is concentrated, use other more appropriate</t>
    </r>
  </si>
  <si>
    <r>
      <rPr>
        <sz val="8"/>
        <color rgb="FF231F20"/>
        <rFont val="Arial"/>
        <family val="34"/>
      </rPr>
      <t>codes.</t>
    </r>
  </si>
  <si>
    <t>DEBRIS (EARTH FILL - LEVEE)
Removal of earth fill placed temporarily on top of a levee to prevent flooding</t>
  </si>
  <si>
    <r>
      <rPr>
        <sz val="8"/>
        <color rgb="FF231F20"/>
        <rFont val="Arial"/>
        <family val="34"/>
      </rPr>
      <t>$ 2.50</t>
    </r>
  </si>
  <si>
    <t>DEBRIS (SMALL ROAD SLIDE)</t>
  </si>
  <si>
    <r>
      <rPr>
        <sz val="8"/>
        <color rgb="FF231F20"/>
        <rFont val="Arial"/>
        <family val="34"/>
      </rPr>
      <t>Usually consists of dirt and rock washed onto road by heavy rains.</t>
    </r>
  </si>
  <si>
    <r>
      <rPr>
        <sz val="8"/>
        <color rgb="FF231F20"/>
        <rFont val="Arial"/>
        <family val="34"/>
      </rPr>
      <t>DEBRIS (CHANNEL EXC. W ITH SPOIL BANK)</t>
    </r>
  </si>
  <si>
    <r>
      <rPr>
        <sz val="8"/>
        <color rgb="FF231F20"/>
        <rFont val="Arial"/>
        <family val="34"/>
      </rPr>
      <t>$ 1.25</t>
    </r>
  </si>
  <si>
    <r>
      <rPr>
        <sz val="8"/>
        <color rgb="FF231F20"/>
        <rFont val="Arial"/>
        <family val="34"/>
      </rPr>
      <t>Removal of debris from a drainage channel, usually siltation but may</t>
    </r>
  </si>
  <si>
    <r>
      <rPr>
        <sz val="8"/>
        <color rgb="FF231F20"/>
        <rFont val="Arial"/>
        <family val="34"/>
      </rPr>
      <t>involve material sloughed off from the banks. Disposed of by spoil bank.</t>
    </r>
  </si>
  <si>
    <r>
      <rPr>
        <sz val="8"/>
        <color rgb="FF231F20"/>
        <rFont val="Arial"/>
        <family val="34"/>
      </rPr>
      <t>DEBRIS (CHANNEL EXC AND HAUL)</t>
    </r>
  </si>
  <si>
    <r>
      <rPr>
        <sz val="8"/>
        <color rgb="FF231F20"/>
        <rFont val="Arial"/>
        <family val="34"/>
      </rPr>
      <t>Same as Code 1110, except debris must be hauled away instead of</t>
    </r>
  </si>
  <si>
    <r>
      <rPr>
        <sz val="8"/>
        <color rgb="FF231F20"/>
        <rFont val="Arial"/>
        <family val="34"/>
      </rPr>
      <t>disposed of by spoil bank.</t>
    </r>
  </si>
  <si>
    <r>
      <rPr>
        <sz val="8"/>
        <color rgb="FF231F20"/>
        <rFont val="Arial"/>
        <family val="34"/>
      </rPr>
      <t>DEDUCT APPLICANT'S SHARE (SPOIL BANK)</t>
    </r>
  </si>
  <si>
    <r>
      <rPr>
        <sz val="8"/>
        <color rgb="FF231F20"/>
        <rFont val="Arial"/>
        <family val="34"/>
      </rPr>
      <t>Applicant should conduct normal maintenance of channels. This amount</t>
    </r>
  </si>
  <si>
    <r>
      <rPr>
        <sz val="8"/>
        <color rgb="FF231F20"/>
        <rFont val="Arial"/>
        <family val="34"/>
      </rPr>
      <t>should be deducted from total amount charged to the disaster.</t>
    </r>
  </si>
  <si>
    <r>
      <rPr>
        <sz val="8"/>
        <color rgb="FF231F20"/>
        <rFont val="Arial"/>
        <family val="34"/>
      </rPr>
      <t>DEDUCT APPLICANT'S SHARE (HAUL)</t>
    </r>
  </si>
  <si>
    <r>
      <rPr>
        <sz val="8"/>
        <color rgb="FF231F20"/>
        <rFont val="Arial"/>
        <family val="34"/>
      </rPr>
      <t>Same as Code 1112 except debris is hauled to a dump</t>
    </r>
  </si>
  <si>
    <r>
      <rPr>
        <sz val="8"/>
        <color rgb="FF231F20"/>
        <rFont val="Arial"/>
        <family val="34"/>
      </rPr>
      <t>CF</t>
    </r>
  </si>
  <si>
    <r>
      <rPr>
        <sz val="8"/>
        <color rgb="FF231F20"/>
        <rFont val="Arial"/>
        <family val="34"/>
      </rPr>
      <t>DEMOLITION (RESIDENTIAL STRUCTURE)</t>
    </r>
  </si>
  <si>
    <r>
      <rPr>
        <sz val="8"/>
        <color rgb="FF231F20"/>
        <rFont val="Arial"/>
        <family val="34"/>
      </rPr>
      <t>$ 0.15</t>
    </r>
  </si>
  <si>
    <r>
      <rPr>
        <sz val="8"/>
        <color rgb="FF231F20"/>
        <rFont val="Arial"/>
        <family val="34"/>
      </rPr>
      <t>Used for houses, duplexes, apartments, housing projects, mobile homes,</t>
    </r>
  </si>
  <si>
    <r>
      <rPr>
        <sz val="8"/>
        <color rgb="FF231F20"/>
        <rFont val="Arial"/>
        <family val="34"/>
      </rPr>
      <t>etc. Determine cubic feet volume of living space.</t>
    </r>
  </si>
  <si>
    <r>
      <rPr>
        <sz val="8"/>
        <color rgb="FF231F20"/>
        <rFont val="Arial"/>
        <family val="34"/>
      </rPr>
      <t>DEMOLITION (COMMERCIAL STRUCTURE)</t>
    </r>
  </si>
  <si>
    <r>
      <rPr>
        <sz val="8"/>
        <color rgb="FF231F20"/>
        <rFont val="Arial"/>
        <family val="34"/>
      </rPr>
      <t>$ 0.17</t>
    </r>
  </si>
  <si>
    <r>
      <rPr>
        <sz val="8"/>
        <color rgb="FF231F20"/>
        <rFont val="Arial"/>
        <family val="34"/>
      </rPr>
      <t>Use for office buildings, shopping malls, filling stations, club houses,</t>
    </r>
  </si>
  <si>
    <r>
      <rPr>
        <sz val="8"/>
        <color rgb="FF231F20"/>
        <rFont val="Arial"/>
        <family val="34"/>
      </rPr>
      <t>motels, airport buildings, etc. Same volume determination as Code 1120.</t>
    </r>
  </si>
  <si>
    <r>
      <rPr>
        <sz val="8"/>
        <color rgb="FF231F20"/>
        <rFont val="Arial"/>
        <family val="34"/>
      </rPr>
      <t>HR</t>
    </r>
  </si>
  <si>
    <r>
      <rPr>
        <sz val="8"/>
        <color rgb="FF231F20"/>
        <rFont val="Arial"/>
        <family val="34"/>
      </rPr>
      <t>POLICE OVERTIME</t>
    </r>
  </si>
  <si>
    <r>
      <rPr>
        <sz val="8"/>
        <color rgb="FF231F20"/>
        <rFont val="Arial"/>
        <family val="34"/>
      </rPr>
      <t>Police Overtime</t>
    </r>
  </si>
  <si>
    <r>
      <rPr>
        <sz val="8"/>
        <color rgb="FF231F20"/>
        <rFont val="Arial"/>
        <family val="34"/>
      </rPr>
      <t>FIRE OVERTIME</t>
    </r>
  </si>
  <si>
    <r>
      <rPr>
        <sz val="8"/>
        <color rgb="FF231F20"/>
        <rFont val="Arial"/>
        <family val="34"/>
      </rPr>
      <t>Fire Overtime</t>
    </r>
  </si>
  <si>
    <r>
      <rPr>
        <sz val="8"/>
        <color rgb="FF231F20"/>
        <rFont val="Arial"/>
        <family val="34"/>
      </rPr>
      <t>TEMPORARY EMPLOYEES</t>
    </r>
  </si>
  <si>
    <r>
      <rPr>
        <sz val="8"/>
        <color rgb="FF231F20"/>
        <rFont val="Arial"/>
        <family val="34"/>
      </rPr>
      <t>$ 0.03</t>
    </r>
  </si>
  <si>
    <r>
      <rPr>
        <sz val="8"/>
        <color rgb="FF231F20"/>
        <rFont val="Arial"/>
        <family val="34"/>
      </rPr>
      <t>Temporary Employees</t>
    </r>
  </si>
  <si>
    <r>
      <rPr>
        <sz val="8"/>
        <color rgb="FF231F20"/>
        <rFont val="Arial"/>
        <family val="34"/>
      </rPr>
      <t>SF</t>
    </r>
  </si>
  <si>
    <r>
      <rPr>
        <sz val="8"/>
        <color rgb="FF231F20"/>
        <rFont val="Arial"/>
        <family val="34"/>
      </rPr>
      <t>POLYETHYLENE</t>
    </r>
  </si>
  <si>
    <r>
      <rPr>
        <sz val="8"/>
        <color rgb="FF231F20"/>
        <rFont val="Arial"/>
        <family val="34"/>
      </rPr>
      <t>Plastic sheeting applied to windows, doors and many other places to</t>
    </r>
  </si>
  <si>
    <r>
      <rPr>
        <sz val="8"/>
        <color rgb="FF231F20"/>
        <rFont val="Arial"/>
        <family val="34"/>
      </rPr>
      <t>protect from water damage.</t>
    </r>
  </si>
  <si>
    <r>
      <rPr>
        <sz val="8"/>
        <color rgb="FF231F20"/>
        <rFont val="Arial"/>
        <family val="34"/>
      </rPr>
      <t>PLYW OOD SHEETING</t>
    </r>
  </si>
  <si>
    <r>
      <rPr>
        <sz val="8"/>
        <color rgb="FF231F20"/>
        <rFont val="Arial"/>
        <family val="34"/>
      </rPr>
      <t>$ 0.65</t>
    </r>
  </si>
  <si>
    <r>
      <rPr>
        <sz val="8"/>
        <color rgb="FF231F20"/>
        <rFont val="Arial"/>
        <family val="34"/>
      </rPr>
      <t>Usually 1/2" thick plywood used to cover windows and doors for protection</t>
    </r>
  </si>
  <si>
    <r>
      <rPr>
        <sz val="8"/>
        <color rgb="FF231F20"/>
        <rFont val="Arial"/>
        <family val="34"/>
      </rPr>
      <t>against wind and driving rain.</t>
    </r>
  </si>
  <si>
    <r>
      <rPr>
        <sz val="8"/>
        <color rgb="FF231F20"/>
        <rFont val="Arial"/>
        <family val="34"/>
      </rPr>
      <t>SANDBAGS (PURCHASED)</t>
    </r>
  </si>
  <si>
    <r>
      <rPr>
        <sz val="8"/>
        <color rgb="FF231F20"/>
        <rFont val="Arial"/>
        <family val="34"/>
      </rPr>
      <t>$ 0.27</t>
    </r>
  </si>
  <si>
    <r>
      <rPr>
        <sz val="8"/>
        <color rgb="FF231F20"/>
        <rFont val="Arial"/>
        <family val="34"/>
      </rPr>
      <t>These are plastic or burlap bags purchased to be filled with sand and used</t>
    </r>
  </si>
  <si>
    <r>
      <rPr>
        <sz val="8"/>
        <color rgb="FF231F20"/>
        <rFont val="Arial"/>
        <family val="34"/>
      </rPr>
      <t>to protect from rising water.</t>
    </r>
  </si>
  <si>
    <r>
      <rPr>
        <sz val="8"/>
        <color rgb="FF231F20"/>
        <rFont val="Arial"/>
        <family val="34"/>
      </rPr>
      <t>SAND (DELIVERED)</t>
    </r>
  </si>
  <si>
    <r>
      <rPr>
        <sz val="8"/>
        <color rgb="FF231F20"/>
        <rFont val="Arial"/>
        <family val="34"/>
      </rPr>
      <t>$ 7.00</t>
    </r>
  </si>
  <si>
    <r>
      <rPr>
        <sz val="8"/>
        <color rgb="FF231F20"/>
        <rFont val="Arial"/>
        <family val="34"/>
      </rPr>
      <t>Sand purchased for filling sand bags. Delivered to a central point for use.</t>
    </r>
  </si>
  <si>
    <r>
      <rPr>
        <sz val="8"/>
        <color rgb="FF231F20"/>
        <rFont val="Arial"/>
        <family val="34"/>
      </rPr>
      <t>SANDBAGS FILLED &amp; PLACED</t>
    </r>
  </si>
  <si>
    <r>
      <rPr>
        <sz val="8"/>
        <color rgb="FF231F20"/>
        <rFont val="Arial"/>
        <family val="34"/>
      </rPr>
      <t>Covers cost of filled sandbags, delivered and put in place to protect from</t>
    </r>
  </si>
  <si>
    <r>
      <rPr>
        <sz val="8"/>
        <color rgb="FF231F20"/>
        <rFont val="Arial"/>
        <family val="34"/>
      </rPr>
      <t>rising water. Compute in cubic yards.</t>
    </r>
  </si>
  <si>
    <r>
      <rPr>
        <sz val="8"/>
        <color rgb="FF231F20"/>
        <rFont val="Arial"/>
        <family val="34"/>
      </rPr>
      <t>LEVEE EMERGENCY REPAIR (FILL)</t>
    </r>
  </si>
  <si>
    <r>
      <rPr>
        <sz val="8"/>
        <color rgb="FF231F20"/>
        <rFont val="Arial"/>
        <family val="34"/>
      </rPr>
      <t>During heavy rains and rapid water flow, levees may become saturated</t>
    </r>
  </si>
  <si>
    <r>
      <rPr>
        <sz val="8"/>
        <color rgb="FF231F20"/>
        <rFont val="Arial"/>
        <family val="34"/>
      </rPr>
      <t xml:space="preserve">and slough off large amounts of embankment. These require emergency
</t>
    </r>
    <r>
      <rPr>
        <sz val="8"/>
        <color rgb="FF231F20"/>
        <rFont val="Arial"/>
        <family val="34"/>
      </rPr>
      <t>action to restore the levee to height.</t>
    </r>
  </si>
  <si>
    <r>
      <rPr>
        <sz val="8"/>
        <color rgb="FF231F20"/>
        <rFont val="Arial"/>
        <family val="34"/>
      </rPr>
      <t>LEVEE EARTHEN</t>
    </r>
  </si>
  <si>
    <r>
      <rPr>
        <sz val="8"/>
        <color rgb="FF231F20"/>
        <rFont val="Arial"/>
        <family val="34"/>
      </rPr>
      <t>Temporary levee for protection from rising waters.</t>
    </r>
  </si>
  <si>
    <r>
      <rPr>
        <sz val="8"/>
        <color rgb="FF231F20"/>
        <rFont val="Arial"/>
        <family val="34"/>
      </rPr>
      <t>TOWING - VEHICLES</t>
    </r>
  </si>
  <si>
    <r>
      <rPr>
        <sz val="8"/>
        <color rgb="FF231F20"/>
        <rFont val="Arial"/>
        <family val="34"/>
      </rPr>
      <t>$ 25.00</t>
    </r>
  </si>
  <si>
    <r>
      <rPr>
        <sz val="8"/>
        <color rgb="FF231F20"/>
        <rFont val="Arial"/>
        <family val="34"/>
      </rPr>
      <t>Pulling disabled vehicles from dangerous locations to safety. Does not</t>
    </r>
  </si>
  <si>
    <r>
      <rPr>
        <sz val="8"/>
        <color rgb="FF231F20"/>
        <rFont val="Arial"/>
        <family val="34"/>
      </rPr>
      <t>include winching, but does involve a tow rope. Two drivers allowed.</t>
    </r>
  </si>
  <si>
    <r>
      <rPr>
        <sz val="8"/>
        <color rgb="FF231F20"/>
        <rFont val="Arial"/>
        <family val="34"/>
      </rPr>
      <t>TOWING AND W INCHING WRECKER TRUCK</t>
    </r>
  </si>
  <si>
    <r>
      <rPr>
        <sz val="8"/>
        <color rgb="FF231F20"/>
        <rFont val="Arial"/>
        <family val="34"/>
      </rPr>
      <t>$ 23.50</t>
    </r>
  </si>
  <si>
    <r>
      <rPr>
        <sz val="8"/>
        <color rgb="FF231F20"/>
        <rFont val="Arial"/>
        <family val="34"/>
      </rPr>
      <t>Same as Code 2070 except tow truck with winch. Only tow truck driver</t>
    </r>
  </si>
  <si>
    <r>
      <rPr>
        <sz val="8"/>
        <color rgb="FF231F20"/>
        <rFont val="Arial"/>
        <family val="34"/>
      </rPr>
      <t>required.</t>
    </r>
  </si>
  <si>
    <t>PUMPS (3")
Pump with 3" diameter discharge complete with 12 HP gasoline engine. (See also Code 8322) Includes fuel. Does not include operator/tender</t>
  </si>
  <si>
    <t>PUMPS (4")</t>
  </si>
  <si>
    <r>
      <rPr>
        <sz val="8"/>
        <color rgb="FF231F20"/>
        <rFont val="Arial"/>
        <family val="34"/>
      </rPr>
      <t>$ 5.60</t>
    </r>
  </si>
  <si>
    <r>
      <rPr>
        <sz val="8"/>
        <color rgb="FF231F20"/>
        <rFont val="Arial"/>
        <family val="34"/>
      </rPr>
      <t>Pump with 4" diameter discharge complete with 18 HP gasoline engine</t>
    </r>
  </si>
  <si>
    <r>
      <rPr>
        <sz val="8"/>
        <color rgb="FF231F20"/>
        <rFont val="Arial"/>
        <family val="34"/>
      </rPr>
      <t>(also see Code 8323)</t>
    </r>
  </si>
  <si>
    <r>
      <rPr>
        <sz val="8"/>
        <color rgb="FF231F20"/>
        <rFont val="Arial"/>
        <family val="34"/>
      </rPr>
      <t>PUMPS (6")</t>
    </r>
  </si>
  <si>
    <r>
      <rPr>
        <sz val="8"/>
        <color rgb="FF231F20"/>
        <rFont val="Arial"/>
        <family val="34"/>
      </rPr>
      <t>Pump with 6" diameter discharge complete with 30 HP gasoline engine</t>
    </r>
  </si>
  <si>
    <r>
      <rPr>
        <sz val="8"/>
        <color rgb="FF231F20"/>
        <rFont val="Arial"/>
        <family val="34"/>
      </rPr>
      <t>(also see Code 8324)</t>
    </r>
  </si>
  <si>
    <r>
      <rPr>
        <sz val="8"/>
        <color rgb="FF231F20"/>
        <rFont val="Arial"/>
        <family val="34"/>
      </rPr>
      <t>PUMPS (8")</t>
    </r>
  </si>
  <si>
    <r>
      <rPr>
        <sz val="8"/>
        <color rgb="FF231F20"/>
        <rFont val="Arial"/>
        <family val="34"/>
      </rPr>
      <t>$ 9.25</t>
    </r>
  </si>
  <si>
    <r>
      <rPr>
        <sz val="8"/>
        <color rgb="FF231F20"/>
        <rFont val="Arial"/>
        <family val="34"/>
      </rPr>
      <t xml:space="preserve">Pumps with 8" diameter discharge complete with 50 HP gasoline engine
</t>
    </r>
    <r>
      <rPr>
        <sz val="8"/>
        <color rgb="FF231F20"/>
        <rFont val="Arial"/>
        <family val="34"/>
      </rPr>
      <t>(also see Code 8325)</t>
    </r>
  </si>
  <si>
    <r>
      <rPr>
        <sz val="8"/>
        <color rgb="FF231F20"/>
        <rFont val="Arial"/>
        <family val="34"/>
      </rPr>
      <t>PUMPS (10")</t>
    </r>
  </si>
  <si>
    <r>
      <rPr>
        <sz val="8"/>
        <color rgb="FF231F20"/>
        <rFont val="Arial"/>
        <family val="34"/>
      </rPr>
      <t>$ 14.50</t>
    </r>
  </si>
  <si>
    <r>
      <rPr>
        <sz val="8"/>
        <color rgb="FF231F20"/>
        <rFont val="Arial"/>
        <family val="34"/>
      </rPr>
      <t>Pump with 10" diameter discharge complete with 70 HP gasolline engine.</t>
    </r>
  </si>
  <si>
    <r>
      <rPr>
        <sz val="8"/>
        <color rgb="FF231F20"/>
        <rFont val="Arial"/>
        <family val="34"/>
      </rPr>
      <t>PUMPS (12")</t>
    </r>
  </si>
  <si>
    <r>
      <rPr>
        <sz val="8"/>
        <color rgb="FF231F20"/>
        <rFont val="Arial"/>
        <family val="34"/>
      </rPr>
      <t>Pumps with 12" diameter discharge complete with 100 HP gasoline</t>
    </r>
  </si>
  <si>
    <r>
      <rPr>
        <sz val="8"/>
        <color rgb="FF231F20"/>
        <rFont val="Arial"/>
        <family val="34"/>
      </rPr>
      <t>engine.</t>
    </r>
  </si>
  <si>
    <r>
      <rPr>
        <sz val="8"/>
        <color rgb="FF231F20"/>
        <rFont val="Arial"/>
        <family val="34"/>
      </rPr>
      <t>PUMP COSTS FOR EMERGENCY PHASE</t>
    </r>
  </si>
  <si>
    <r>
      <rPr>
        <sz val="8"/>
        <color rgb="FF231F20"/>
        <rFont val="Arial"/>
        <family val="34"/>
      </rPr>
      <t>Lump sum cost for gasoline, diesel fuel, electricity, and repairs during the</t>
    </r>
  </si>
  <si>
    <r>
      <rPr>
        <sz val="8"/>
        <color rgb="FF231F20"/>
        <rFont val="Arial"/>
        <family val="34"/>
      </rPr>
      <t>period of incidence and until end of emergency phase.</t>
    </r>
  </si>
  <si>
    <r>
      <rPr>
        <sz val="8"/>
        <color rgb="FF231F20"/>
        <rFont val="Arial"/>
        <family val="34"/>
      </rPr>
      <t>PUMP OPERATORS</t>
    </r>
  </si>
  <si>
    <r>
      <rPr>
        <sz val="8"/>
        <color rgb="FF231F20"/>
        <rFont val="Arial"/>
        <family val="34"/>
      </rPr>
      <t>Regular time plus fringe benefits for operators during emergency period.</t>
    </r>
  </si>
  <si>
    <r>
      <rPr>
        <sz val="8"/>
        <color rgb="FF231F20"/>
        <rFont val="Arial"/>
        <family val="34"/>
      </rPr>
      <t>PUMP OPERATORS (AVG. OVERTIME)</t>
    </r>
  </si>
  <si>
    <r>
      <rPr>
        <sz val="8"/>
        <color rgb="FF231F20"/>
        <rFont val="Arial"/>
        <family val="34"/>
      </rPr>
      <t>Overtime plus fringe benefits for pump operators during emergency period.</t>
    </r>
  </si>
  <si>
    <r>
      <rPr>
        <sz val="8"/>
        <color rgb="FF231F20"/>
        <rFont val="Arial"/>
        <family val="34"/>
      </rPr>
      <t>AGGREGATE SURFACE COURSE (SCREENED)</t>
    </r>
  </si>
  <si>
    <r>
      <rPr>
        <sz val="8"/>
        <color rgb="FF231F20"/>
        <rFont val="Arial"/>
        <family val="34"/>
      </rPr>
      <t>$ 23.20</t>
    </r>
  </si>
  <si>
    <r>
      <rPr>
        <sz val="8"/>
        <color rgb="FF231F20"/>
        <rFont val="Arial"/>
        <family val="34"/>
      </rPr>
      <t>Same as Code 3010 except screened material</t>
    </r>
  </si>
  <si>
    <r>
      <rPr>
        <sz val="8"/>
        <color rgb="FF231F20"/>
        <rFont val="Arial"/>
        <family val="34"/>
      </rPr>
      <t>AGGREGATE SURFACE COURSE</t>
    </r>
  </si>
  <si>
    <r>
      <rPr>
        <sz val="8"/>
        <color rgb="FF231F20"/>
        <rFont val="Arial"/>
        <family val="34"/>
      </rPr>
      <t>$ 6.50</t>
    </r>
  </si>
  <si>
    <r>
      <rPr>
        <sz val="8"/>
        <color rgb="FF231F20"/>
        <rFont val="Arial"/>
        <family val="34"/>
      </rPr>
      <t>A select clay, gravel or similar material used on the top 3 inches of surface</t>
    </r>
  </si>
  <si>
    <r>
      <rPr>
        <sz val="8"/>
        <color rgb="FF231F20"/>
        <rFont val="Arial"/>
        <family val="34"/>
      </rPr>
      <t xml:space="preserve">on an unpaved roadway, in place cost, including hauling, dumping and
</t>
    </r>
    <r>
      <rPr>
        <sz val="8"/>
        <color rgb="FF231F20"/>
        <rFont val="Arial"/>
        <family val="34"/>
      </rPr>
      <t>grading. Allows 5 mile one-way haul.</t>
    </r>
  </si>
  <si>
    <r>
      <rPr>
        <sz val="8"/>
        <color rgb="FF231F20"/>
        <rFont val="Arial"/>
        <family val="34"/>
      </rPr>
      <t>AGGREGATE SURFACE COURSE (CRUSHED)</t>
    </r>
  </si>
  <si>
    <r>
      <rPr>
        <sz val="8"/>
        <color rgb="FF231F20"/>
        <rFont val="Arial"/>
        <family val="34"/>
      </rPr>
      <t>$ 27.20</t>
    </r>
  </si>
  <si>
    <r>
      <rPr>
        <sz val="8"/>
        <color rgb="FF231F20"/>
        <rFont val="Arial"/>
        <family val="34"/>
      </rPr>
      <t>Same as Code 3010 except measured by the cubic yard.</t>
    </r>
  </si>
  <si>
    <r>
      <rPr>
        <sz val="8"/>
        <color rgb="FF231F20"/>
        <rFont val="Arial"/>
        <family val="34"/>
      </rPr>
      <t>AGGREGATE SURFACE (RED DOG)</t>
    </r>
  </si>
  <si>
    <r>
      <rPr>
        <sz val="8"/>
        <color rgb="FF231F20"/>
        <rFont val="Arial"/>
        <family val="34"/>
      </rPr>
      <t>A select crushed stone or similar material used on top 3" of surface of an</t>
    </r>
  </si>
  <si>
    <r>
      <rPr>
        <sz val="8"/>
        <color rgb="FF231F20"/>
        <rFont val="Arial"/>
        <family val="34"/>
      </rPr>
      <t>unpaved roadway, in place including hauling, dumping and grading.</t>
    </r>
  </si>
  <si>
    <r>
      <rPr>
        <sz val="8"/>
        <color rgb="FF231F20"/>
        <rFont val="Arial"/>
        <family val="34"/>
      </rPr>
      <t>AGGREGATE SURFACE</t>
    </r>
  </si>
  <si>
    <r>
      <rPr>
        <sz val="8"/>
        <color rgb="FF231F20"/>
        <rFont val="Arial"/>
        <family val="34"/>
      </rPr>
      <t>Same as Code 3012 except measured by the mile.</t>
    </r>
  </si>
  <si>
    <r>
      <rPr>
        <sz val="8"/>
        <color rgb="FF231F20"/>
        <rFont val="Arial"/>
        <family val="34"/>
      </rPr>
      <t>SHELL SURFACE COURSE (1650 LBS/CY)</t>
    </r>
  </si>
  <si>
    <r>
      <rPr>
        <sz val="8"/>
        <color rgb="FF231F20"/>
        <rFont val="Arial"/>
        <family val="34"/>
      </rPr>
      <t>Ground of crushed marine shell material in place on roadway including</t>
    </r>
  </si>
  <si>
    <r>
      <rPr>
        <sz val="8"/>
        <color rgb="FF231F20"/>
        <rFont val="Arial"/>
        <family val="34"/>
      </rPr>
      <t>hauling, dumping and grading.</t>
    </r>
  </si>
  <si>
    <r>
      <rPr>
        <sz val="8"/>
        <color rgb="FF231F20"/>
        <rFont val="Arial"/>
        <family val="34"/>
      </rPr>
      <t>FILL (UNCLASSIFIED)</t>
    </r>
  </si>
  <si>
    <r>
      <rPr>
        <sz val="8"/>
        <color rgb="FF231F20"/>
        <rFont val="Arial"/>
        <family val="34"/>
      </rPr>
      <t>$ 17.80</t>
    </r>
  </si>
  <si>
    <r>
      <rPr>
        <sz val="8"/>
        <color rgb="FF231F20"/>
        <rFont val="Arial"/>
        <family val="34"/>
      </rPr>
      <t>Any fill material with no select qualities other than being compactable, in</t>
    </r>
  </si>
  <si>
    <r>
      <rPr>
        <sz val="8"/>
        <color rgb="FF231F20"/>
        <rFont val="Arial"/>
        <family val="34"/>
      </rPr>
      <t xml:space="preserve">place including hauling, dumping and spreading. Allows 5 mile one-way
</t>
    </r>
    <r>
      <rPr>
        <sz val="8"/>
        <color rgb="FF231F20"/>
        <rFont val="Arial"/>
        <family val="34"/>
      </rPr>
      <t>haul.</t>
    </r>
  </si>
  <si>
    <r>
      <rPr>
        <sz val="8"/>
        <color rgb="FF231F20"/>
        <rFont val="Arial"/>
        <family val="34"/>
      </rPr>
      <t>PIT RUN GRAVEL</t>
    </r>
  </si>
  <si>
    <r>
      <rPr>
        <sz val="8"/>
        <color rgb="FF231F20"/>
        <rFont val="Arial"/>
        <family val="34"/>
      </rPr>
      <t>$ 19.26</t>
    </r>
  </si>
  <si>
    <r>
      <rPr>
        <sz val="8"/>
        <color rgb="FF231F20"/>
        <rFont val="Arial"/>
        <family val="34"/>
      </rPr>
      <t>Pit run gravel, in place, including hauling, dumping and spreading.</t>
    </r>
  </si>
  <si>
    <r>
      <rPr>
        <sz val="8"/>
        <color rgb="FF231F20"/>
        <rFont val="Arial"/>
        <family val="34"/>
      </rPr>
      <t>LOCAL BORROW (MATERIAL ONLY)</t>
    </r>
  </si>
  <si>
    <r>
      <rPr>
        <sz val="8"/>
        <color rgb="FF231F20"/>
        <rFont val="Arial"/>
        <family val="34"/>
      </rPr>
      <t xml:space="preserve">Any borrow material that is suitable and within close proximity to worksite
</t>
    </r>
    <r>
      <rPr>
        <sz val="8"/>
        <color rgb="FF231F20"/>
        <rFont val="Arial"/>
        <family val="34"/>
      </rPr>
      <t>(less than 2 miles) (in place)</t>
    </r>
  </si>
  <si>
    <r>
      <rPr>
        <sz val="8"/>
        <color rgb="FF231F20"/>
        <rFont val="Arial"/>
        <family val="34"/>
      </rPr>
      <t>BACKFILL (GRANULAR)</t>
    </r>
  </si>
  <si>
    <r>
      <rPr>
        <sz val="8"/>
        <color rgb="FF231F20"/>
        <rFont val="Arial"/>
        <family val="34"/>
      </rPr>
      <t>$ 28.18</t>
    </r>
  </si>
  <si>
    <r>
      <rPr>
        <sz val="8"/>
        <color rgb="FF231F20"/>
        <rFont val="Arial"/>
        <family val="34"/>
      </rPr>
      <t>A sand or wash gravel type material used in select areas such as french</t>
    </r>
  </si>
  <si>
    <r>
      <rPr>
        <sz val="8"/>
        <color rgb="FF231F20"/>
        <rFont val="Arial"/>
        <family val="34"/>
      </rPr>
      <t>drains, in place, including hauling, dumping and placing. Do not add extra</t>
    </r>
  </si>
  <si>
    <r>
      <rPr>
        <sz val="8"/>
        <color rgb="FF231F20"/>
        <rFont val="Arial"/>
        <family val="34"/>
      </rPr>
      <t>yard-mile expense.</t>
    </r>
  </si>
  <si>
    <t>BACKFILL (GRANULAR)
A sand or wash gravel type material used in select areas such as french drains, in place, including hauling, dumping and placing. Do not add extra yard-mile expense.</t>
  </si>
  <si>
    <r>
      <rPr>
        <sz val="8"/>
        <color rgb="FF231F20"/>
        <rFont val="Arial"/>
        <family val="34"/>
      </rPr>
      <t xml:space="preserve">EXCAVATION &amp; BACKFILL (SMALL UNCLASSIFIED)
</t>
    </r>
    <r>
      <rPr>
        <sz val="8"/>
        <color rgb="FF231F20"/>
        <rFont val="Arial"/>
        <family val="34"/>
      </rPr>
      <t>The equipment and labor necessary for excavating material such as</t>
    </r>
  </si>
  <si>
    <r>
      <rPr>
        <sz val="8"/>
        <color rgb="FF231F20"/>
        <rFont val="Arial"/>
        <family val="34"/>
      </rPr>
      <t>$ 28.78</t>
    </r>
  </si>
  <si>
    <r>
      <rPr>
        <sz val="8"/>
        <color rgb="FF231F20"/>
        <rFont val="Arial"/>
        <family val="34"/>
      </rPr>
      <t>around manholes, pipes, small structures, etc. and backfilling with same</t>
    </r>
  </si>
  <si>
    <r>
      <rPr>
        <sz val="8"/>
        <color rgb="FF231F20"/>
        <rFont val="Arial"/>
        <family val="34"/>
      </rPr>
      <t>material.</t>
    </r>
  </si>
  <si>
    <r>
      <rPr>
        <sz val="8"/>
        <color rgb="FF231F20"/>
        <rFont val="Arial"/>
        <family val="34"/>
      </rPr>
      <t>ROCKFILL (ALT. TO UNCLASSIFIED FILL)</t>
    </r>
  </si>
  <si>
    <r>
      <rPr>
        <sz val="8"/>
        <color rgb="FF231F20"/>
        <rFont val="Arial"/>
        <family val="34"/>
      </rPr>
      <t>$ 26.85</t>
    </r>
  </si>
  <si>
    <r>
      <rPr>
        <sz val="8"/>
        <color rgb="FF231F20"/>
        <rFont val="Arial"/>
        <family val="34"/>
      </rPr>
      <t>Locally available material used as unclassified fill in areas where fill is not</t>
    </r>
  </si>
  <si>
    <r>
      <rPr>
        <sz val="8"/>
        <color rgb="FF231F20"/>
        <rFont val="Arial"/>
        <family val="34"/>
      </rPr>
      <t>readily available, in place. Allows 5 mile one-way haul.</t>
    </r>
  </si>
  <si>
    <r>
      <rPr>
        <sz val="8"/>
        <color rgb="FF231F20"/>
        <rFont val="Arial"/>
        <family val="34"/>
      </rPr>
      <t>SY</t>
    </r>
  </si>
  <si>
    <r>
      <rPr>
        <sz val="8"/>
        <color rgb="FF231F20"/>
        <rFont val="Arial"/>
        <family val="34"/>
      </rPr>
      <t>GRADING (SUBGRADE SHAPING)</t>
    </r>
  </si>
  <si>
    <r>
      <rPr>
        <sz val="8"/>
        <color rgb="FF231F20"/>
        <rFont val="Arial"/>
        <family val="34"/>
      </rPr>
      <t>$ 1.15</t>
    </r>
  </si>
  <si>
    <r>
      <rPr>
        <sz val="8"/>
        <color rgb="FF231F20"/>
        <rFont val="Arial"/>
        <family val="34"/>
      </rPr>
      <t>Equipment and labor necessary for grading and shaping roadbed.</t>
    </r>
  </si>
  <si>
    <r>
      <rPr>
        <sz val="8"/>
        <color rgb="FF231F20"/>
        <rFont val="Arial"/>
        <family val="34"/>
      </rPr>
      <t>Generally refers to new construction; may require bluetops. Value of</t>
    </r>
  </si>
  <si>
    <r>
      <rPr>
        <sz val="8"/>
        <color rgb="FF231F20"/>
        <rFont val="Arial"/>
        <family val="34"/>
      </rPr>
      <t>$0.02/sy based on one grader and operator shaping one mile in 7 hours.</t>
    </r>
  </si>
  <si>
    <r>
      <rPr>
        <sz val="8"/>
        <color rgb="FF231F20"/>
        <rFont val="Arial"/>
        <family val="34"/>
      </rPr>
      <t>(grader @$55.00/hr; operator @$20.00/hr.</t>
    </r>
  </si>
  <si>
    <r>
      <rPr>
        <sz val="8"/>
        <color rgb="FF231F20"/>
        <rFont val="Arial"/>
        <family val="34"/>
      </rPr>
      <t>SCARIFYING</t>
    </r>
  </si>
  <si>
    <r>
      <rPr>
        <sz val="8"/>
        <color rgb="FF231F20"/>
        <rFont val="Arial"/>
        <family val="34"/>
      </rPr>
      <t>The process of preparing a road surface by roughing the surface with a</t>
    </r>
  </si>
  <si>
    <r>
      <rPr>
        <sz val="8"/>
        <color rgb="FF231F20"/>
        <rFont val="Arial"/>
        <family val="34"/>
      </rPr>
      <t>machine with tines that penetrates the soil.</t>
    </r>
  </si>
  <si>
    <r>
      <rPr>
        <sz val="8"/>
        <color rgb="FF231F20"/>
        <rFont val="Arial"/>
        <family val="34"/>
      </rPr>
      <t>LF</t>
    </r>
  </si>
  <si>
    <r>
      <rPr>
        <sz val="8"/>
        <color rgb="FF231F20"/>
        <rFont val="Arial"/>
        <family val="34"/>
      </rPr>
      <t>DITCH CLEANING &amp; SHAPING</t>
    </r>
  </si>
  <si>
    <r>
      <rPr>
        <sz val="8"/>
        <color rgb="FF231F20"/>
        <rFont val="Arial"/>
        <family val="34"/>
      </rPr>
      <t>$ 3.25</t>
    </r>
  </si>
  <si>
    <r>
      <rPr>
        <sz val="8"/>
        <color rgb="FF231F20"/>
        <rFont val="Arial"/>
        <family val="34"/>
      </rPr>
      <t>Equipment and labor necessary for cleaning roadside ditches using</t>
    </r>
  </si>
  <si>
    <r>
      <rPr>
        <sz val="8"/>
        <color rgb="FF231F20"/>
        <rFont val="Arial"/>
        <family val="34"/>
      </rPr>
      <t>gradall/excavator and dump truck operation (per linear foot of ditch)</t>
    </r>
  </si>
  <si>
    <r>
      <rPr>
        <sz val="8"/>
        <color rgb="FF231F20"/>
        <rFont val="Arial"/>
        <family val="34"/>
      </rPr>
      <t>CHIP AND SEAL (SINGLE)</t>
    </r>
  </si>
  <si>
    <r>
      <rPr>
        <sz val="8"/>
        <color rgb="FF231F20"/>
        <rFont val="Arial"/>
        <family val="34"/>
      </rPr>
      <t>A bituminous surface treatment consisting of a layer of asphaltic binder</t>
    </r>
  </si>
  <si>
    <r>
      <rPr>
        <sz val="8"/>
        <color rgb="FF231F20"/>
        <rFont val="Arial"/>
        <family val="34"/>
      </rPr>
      <t>and a layer of aggregate such as pea gravel or crushed stone.</t>
    </r>
  </si>
  <si>
    <r>
      <rPr>
        <sz val="8"/>
        <color rgb="FF231F20"/>
        <rFont val="Arial"/>
        <family val="34"/>
      </rPr>
      <t>CHIP AND SEAL (DOUBLE)</t>
    </r>
  </si>
  <si>
    <r>
      <rPr>
        <sz val="8"/>
        <color rgb="FF231F20"/>
        <rFont val="Arial"/>
        <family val="34"/>
      </rPr>
      <t>$ 1.50</t>
    </r>
  </si>
  <si>
    <r>
      <rPr>
        <sz val="8"/>
        <color rgb="FF231F20"/>
        <rFont val="Arial"/>
        <family val="34"/>
      </rPr>
      <t>Same as Code 3080 except 2 layers of binder and 2 layers of aggregate, in</t>
    </r>
  </si>
  <si>
    <r>
      <rPr>
        <sz val="8"/>
        <color rgb="FF231F20"/>
        <rFont val="Arial"/>
        <family val="34"/>
      </rPr>
      <t>place.</t>
    </r>
  </si>
  <si>
    <r>
      <rPr>
        <sz val="8"/>
        <color rgb="FF231F20"/>
        <rFont val="Arial"/>
        <family val="34"/>
      </rPr>
      <t>CHIP AND SEAL (TRIPLE)</t>
    </r>
  </si>
  <si>
    <r>
      <rPr>
        <sz val="8"/>
        <color rgb="FF231F20"/>
        <rFont val="Arial"/>
        <family val="34"/>
      </rPr>
      <t>$ 2.00</t>
    </r>
  </si>
  <si>
    <r>
      <rPr>
        <sz val="8"/>
        <color rgb="FF231F20"/>
        <rFont val="Arial"/>
        <family val="34"/>
      </rPr>
      <t>Same as Code 3080 except 3 layers of binder and 3 layers of aggregate, in</t>
    </r>
  </si>
  <si>
    <r>
      <rPr>
        <sz val="8"/>
        <color rgb="FF231F20"/>
        <rFont val="Arial"/>
        <family val="34"/>
      </rPr>
      <t>place. Seldom used.</t>
    </r>
  </si>
  <si>
    <r>
      <rPr>
        <sz val="8"/>
        <color rgb="FF231F20"/>
        <rFont val="Arial"/>
        <family val="34"/>
      </rPr>
      <t>AGGREGATE BASE COURSE (UNDER BITUMINOUS SURFACE)</t>
    </r>
  </si>
  <si>
    <r>
      <rPr>
        <sz val="8"/>
        <color rgb="FF231F20"/>
        <rFont val="Arial"/>
        <family val="34"/>
      </rPr>
      <t>$ 9.75</t>
    </r>
  </si>
  <si>
    <r>
      <rPr>
        <sz val="8"/>
        <color rgb="FF231F20"/>
        <rFont val="Arial"/>
        <family val="34"/>
      </rPr>
      <t>Uses pit run aggregate as base.</t>
    </r>
  </si>
  <si>
    <r>
      <rPr>
        <sz val="8"/>
        <color rgb="FF231F20"/>
        <rFont val="Arial"/>
        <family val="34"/>
      </rPr>
      <t>$ 24.92</t>
    </r>
  </si>
  <si>
    <r>
      <rPr>
        <sz val="8"/>
        <color rgb="FF231F20"/>
        <rFont val="Arial"/>
        <family val="34"/>
      </rPr>
      <t>Same as Code 3090 except measured in cubic yards.</t>
    </r>
  </si>
  <si>
    <r>
      <rPr>
        <sz val="8"/>
        <color rgb="FF231F20"/>
        <rFont val="Arial"/>
        <family val="34"/>
      </rPr>
      <t>SY/IN</t>
    </r>
  </si>
  <si>
    <r>
      <rPr>
        <sz val="8"/>
        <color rgb="FF231F20"/>
        <rFont val="Arial"/>
        <family val="34"/>
      </rPr>
      <t>BITUMINOUS COLD PATCH</t>
    </r>
  </si>
  <si>
    <r>
      <rPr>
        <sz val="8"/>
        <color rgb="FF231F20"/>
        <rFont val="Arial"/>
        <family val="34"/>
      </rPr>
      <t>$ 5.30</t>
    </r>
  </si>
  <si>
    <r>
      <rPr>
        <sz val="8"/>
        <color rgb="FF231F20"/>
        <rFont val="Arial"/>
        <family val="34"/>
      </rPr>
      <t>A material consisting of sand, aggregate, and a bituminous binder used for</t>
    </r>
  </si>
  <si>
    <r>
      <rPr>
        <sz val="8"/>
        <color rgb="FF231F20"/>
        <rFont val="Arial"/>
        <family val="34"/>
      </rPr>
      <t>patching small areas (2000 Sq.Ft or less) of paved roadway surface, in</t>
    </r>
  </si>
  <si>
    <r>
      <rPr>
        <sz val="8"/>
        <color rgb="FF231F20"/>
        <rFont val="Arial"/>
        <family val="34"/>
      </rPr>
      <t>place, including hauling, dumping and compacting. Sometimes used in</t>
    </r>
  </si>
  <si>
    <r>
      <rPr>
        <sz val="8"/>
        <color rgb="FF231F20"/>
        <rFont val="Arial"/>
        <family val="34"/>
      </rPr>
      <t>large areas because of lack of hot mix supply. Do not add extra ton-mile</t>
    </r>
  </si>
  <si>
    <r>
      <rPr>
        <sz val="8"/>
        <color rgb="FF231F20"/>
        <rFont val="Arial"/>
        <family val="34"/>
      </rPr>
      <t>expense.</t>
    </r>
  </si>
  <si>
    <r>
      <rPr>
        <sz val="8"/>
        <color rgb="FF231F20"/>
        <rFont val="Arial"/>
        <family val="34"/>
      </rPr>
      <t>BITUMINOUS COLD PATCH (MATERIAL ONLY)</t>
    </r>
  </si>
  <si>
    <r>
      <rPr>
        <sz val="8"/>
        <color rgb="FF231F20"/>
        <rFont val="Arial"/>
        <family val="34"/>
      </rPr>
      <t>$ 80.00</t>
    </r>
  </si>
  <si>
    <r>
      <rPr>
        <sz val="8"/>
        <color rgb="FF231F20"/>
        <rFont val="Arial"/>
        <family val="34"/>
      </rPr>
      <t>Material only, add labor and equipment costs.</t>
    </r>
  </si>
  <si>
    <r>
      <rPr>
        <sz val="8"/>
        <color rgb="FF231F20"/>
        <rFont val="Arial"/>
        <family val="34"/>
      </rPr>
      <t>BITUMINOUS CONCRETE OVERLAY</t>
    </r>
  </si>
  <si>
    <r>
      <rPr>
        <sz val="8"/>
        <color rgb="FF231F20"/>
        <rFont val="Arial"/>
        <family val="34"/>
      </rPr>
      <t>$ 3.75</t>
    </r>
  </si>
  <si>
    <r>
      <rPr>
        <sz val="8"/>
        <color rgb="FF231F20"/>
        <rFont val="Arial"/>
        <family val="34"/>
      </rPr>
      <t>Normally done with hot mix over either concrete or bituminous paved road.</t>
    </r>
  </si>
  <si>
    <t>BITUMINOUS CONCRETE BINDER COURSE (MATERIAL ONLY) - (IN First layer of asphaltic concrete pavement with up to 1" aggregate.</t>
  </si>
  <si>
    <r>
      <rPr>
        <sz val="8"/>
        <color rgb="FF231F20"/>
        <rFont val="Arial"/>
        <family val="34"/>
      </rPr>
      <t>$ 86.00</t>
    </r>
  </si>
  <si>
    <r>
      <rPr>
        <sz val="8"/>
        <color rgb="FF231F20"/>
        <rFont val="Arial"/>
        <family val="34"/>
      </rPr>
      <t>First layer of asphaltic concrete pavement with up to 1" aggregate.</t>
    </r>
  </si>
  <si>
    <r>
      <rPr>
        <sz val="8"/>
        <color rgb="FF231F20"/>
        <rFont val="Arial"/>
        <family val="34"/>
      </rPr>
      <t>BITUMINOUS CONCRETE SURFACE COURSE (MATERIAL ONLY)</t>
    </r>
  </si>
  <si>
    <r>
      <rPr>
        <sz val="8"/>
        <color rgb="FF231F20"/>
        <rFont val="Arial"/>
        <family val="34"/>
      </rPr>
      <t>Second layer of asphaltic concrete pavement with .5" aggregate or smaller.</t>
    </r>
  </si>
  <si>
    <r>
      <rPr>
        <sz val="8"/>
        <color rgb="FF231F20"/>
        <rFont val="Arial"/>
        <family val="34"/>
      </rPr>
      <t>BITUMINOUS CONCRETE PAVEMENT, HAND PLACED</t>
    </r>
  </si>
  <si>
    <r>
      <rPr>
        <sz val="8"/>
        <color rgb="FF231F20"/>
        <rFont val="Arial"/>
        <family val="34"/>
      </rPr>
      <t>$ 133.00</t>
    </r>
  </si>
  <si>
    <r>
      <rPr>
        <sz val="8"/>
        <color rgb="FF231F20"/>
        <rFont val="Arial"/>
        <family val="34"/>
      </rPr>
      <t>Bituminous concrete pavement, hand placed</t>
    </r>
  </si>
  <si>
    <r>
      <rPr>
        <sz val="8"/>
        <color rgb="FF231F20"/>
        <rFont val="Arial"/>
        <family val="34"/>
      </rPr>
      <t>BITUMINOUS CONCRETE PAVEMENT (HAND PLACED)</t>
    </r>
  </si>
  <si>
    <r>
      <rPr>
        <sz val="8"/>
        <color rgb="FF231F20"/>
        <rFont val="Arial"/>
        <family val="34"/>
      </rPr>
      <t>Same as Code 3132 except measured in SY/IN</t>
    </r>
  </si>
  <si>
    <r>
      <rPr>
        <sz val="8"/>
        <color rgb="FF231F20"/>
        <rFont val="Arial"/>
        <family val="34"/>
      </rPr>
      <t>PAVEMENT REMOVAL</t>
    </r>
  </si>
  <si>
    <r>
      <rPr>
        <sz val="8"/>
        <color rgb="FF231F20"/>
        <rFont val="Arial"/>
        <family val="34"/>
      </rPr>
      <t>$ 9.12</t>
    </r>
  </si>
  <si>
    <r>
      <rPr>
        <sz val="8"/>
        <color rgb="FF231F20"/>
        <rFont val="Arial"/>
        <family val="34"/>
      </rPr>
      <t>Breaking FC concrete and haul to dump (10 miles R/T)</t>
    </r>
  </si>
  <si>
    <t>CONCRETE SIDEWALK (4")
Placement of 4" thick sidewalk including forming, finishing, joint material and wire mesh</t>
  </si>
  <si>
    <r>
      <rPr>
        <sz val="8"/>
        <color rgb="FF231F20"/>
        <rFont val="Arial"/>
        <family val="34"/>
      </rPr>
      <t>$ 8.25</t>
    </r>
  </si>
  <si>
    <r>
      <rPr>
        <sz val="8"/>
        <color rgb="FF231F20"/>
        <rFont val="Arial"/>
        <family val="34"/>
      </rPr>
      <t xml:space="preserve">CONCRETE SIDEW ALK REMOVAL
</t>
    </r>
    <r>
      <rPr>
        <sz val="8"/>
        <color rgb="FF231F20"/>
        <rFont val="Arial"/>
        <family val="34"/>
      </rPr>
      <t>Break-up and haul sidewalk to dump (10 mile R/T)</t>
    </r>
  </si>
  <si>
    <r>
      <rPr>
        <sz val="8"/>
        <color rgb="FF231F20"/>
        <rFont val="Arial"/>
        <family val="34"/>
      </rPr>
      <t>$ 0.60</t>
    </r>
  </si>
  <si>
    <r>
      <rPr>
        <sz val="8"/>
        <color rgb="FF231F20"/>
        <rFont val="Arial"/>
        <family val="34"/>
      </rPr>
      <t>CONCRETE CURB AND GUTTER</t>
    </r>
  </si>
  <si>
    <r>
      <rPr>
        <sz val="8"/>
        <color rgb="FF231F20"/>
        <rFont val="Arial"/>
        <family val="34"/>
      </rPr>
      <t>Placement of curbing and gutter including forming, finishing and joint</t>
    </r>
  </si>
  <si>
    <r>
      <rPr>
        <sz val="8"/>
        <color rgb="FF231F20"/>
        <rFont val="Arial"/>
        <family val="34"/>
      </rPr>
      <t>CONCRETE CURB AND GUTTER REMOVAL</t>
    </r>
  </si>
  <si>
    <r>
      <rPr>
        <sz val="8"/>
        <color rgb="FF231F20"/>
        <rFont val="Arial"/>
        <family val="34"/>
      </rPr>
      <t>$ 3.20</t>
    </r>
  </si>
  <si>
    <r>
      <rPr>
        <sz val="8"/>
        <color rgb="FF231F20"/>
        <rFont val="Arial"/>
        <family val="34"/>
      </rPr>
      <t>Break-up and haul curb and gutter to dump (10 mile R/T)</t>
    </r>
  </si>
  <si>
    <r>
      <rPr>
        <sz val="8"/>
        <color rgb="FF231F20"/>
        <rFont val="Arial"/>
        <family val="34"/>
      </rPr>
      <t>CONCRETE PAVEMENT (MESH REINFORCEMENT)</t>
    </r>
  </si>
  <si>
    <r>
      <rPr>
        <sz val="8"/>
        <color rgb="FF231F20"/>
        <rFont val="Arial"/>
        <family val="34"/>
      </rPr>
      <t>6" thick concrete pavement with welded wire fabric reinforcement. In-place</t>
    </r>
  </si>
  <si>
    <r>
      <rPr>
        <sz val="8"/>
        <color rgb="FF231F20"/>
        <rFont val="Arial"/>
        <family val="34"/>
      </rPr>
      <t>cost.</t>
    </r>
  </si>
  <si>
    <r>
      <rPr>
        <sz val="8"/>
        <color rgb="FF231F20"/>
        <rFont val="Arial"/>
        <family val="34"/>
      </rPr>
      <t>CONCRETE CLASS X (INPLACE FORMED)</t>
    </r>
  </si>
  <si>
    <r>
      <rPr>
        <sz val="8"/>
        <color rgb="FF231F20"/>
        <rFont val="Arial"/>
        <family val="34"/>
      </rPr>
      <t>$ 350.00</t>
    </r>
  </si>
  <si>
    <r>
      <rPr>
        <sz val="8"/>
        <color rgb="FF231F20"/>
        <rFont val="Arial"/>
        <family val="34"/>
      </rPr>
      <t>Any class of low strength concrete used for non-structure purposes.</t>
    </r>
  </si>
  <si>
    <r>
      <rPr>
        <sz val="8"/>
        <color rgb="FF231F20"/>
        <rFont val="Arial"/>
        <family val="34"/>
      </rPr>
      <t>Includes building forms and removing them.</t>
    </r>
  </si>
  <si>
    <r>
      <rPr>
        <sz val="8"/>
        <color rgb="FF231F20"/>
        <rFont val="Arial"/>
        <family val="34"/>
      </rPr>
      <t>CONCRETE CLASS A (STRUCTURAL)</t>
    </r>
  </si>
  <si>
    <r>
      <rPr>
        <sz val="8"/>
        <color rgb="FF231F20"/>
        <rFont val="Arial"/>
        <family val="34"/>
      </rPr>
      <t>$ 607.50</t>
    </r>
  </si>
  <si>
    <r>
      <rPr>
        <sz val="8"/>
        <color rgb="FF231F20"/>
        <rFont val="Arial"/>
        <family val="34"/>
      </rPr>
      <t>A high strength (3500 PSI or over) concrete used in structures such as</t>
    </r>
  </si>
  <si>
    <r>
      <rPr>
        <sz val="8"/>
        <color rgb="FF231F20"/>
        <rFont val="Arial"/>
        <family val="34"/>
      </rPr>
      <t>culverts, headwalls, wingwalls, etc. Includes building forms and removing</t>
    </r>
  </si>
  <si>
    <r>
      <rPr>
        <sz val="8"/>
        <color rgb="FF231F20"/>
        <rFont val="Arial"/>
        <family val="34"/>
      </rPr>
      <t>them.</t>
    </r>
  </si>
  <si>
    <r>
      <rPr>
        <sz val="8"/>
        <color rgb="FF231F20"/>
        <rFont val="Arial"/>
        <family val="34"/>
      </rPr>
      <t>CONCRETE RETAINING W ALLS (12")</t>
    </r>
  </si>
  <si>
    <r>
      <rPr>
        <sz val="8"/>
        <color rgb="FF231F20"/>
        <rFont val="Arial"/>
        <family val="34"/>
      </rPr>
      <t>A wall that usually runs parallel to a road. Used to hold back earth where</t>
    </r>
  </si>
  <si>
    <r>
      <rPr>
        <sz val="8"/>
        <color rgb="FF231F20"/>
        <rFont val="Arial"/>
        <family val="34"/>
      </rPr>
      <t>right-of-way does not permit a gradual slope. Includes reinforcing bars.</t>
    </r>
  </si>
  <si>
    <r>
      <rPr>
        <sz val="8"/>
        <color rgb="FF231F20"/>
        <rFont val="Arial"/>
        <family val="34"/>
      </rPr>
      <t>Use square foot of surface.</t>
    </r>
  </si>
  <si>
    <r>
      <rPr>
        <sz val="8"/>
        <color rgb="FF231F20"/>
        <rFont val="Arial"/>
        <family val="34"/>
      </rPr>
      <t>CONCRETE BOX CULVERTS</t>
    </r>
  </si>
  <si>
    <r>
      <rPr>
        <sz val="8"/>
        <color rgb="FF231F20"/>
        <rFont val="Arial"/>
        <family val="34"/>
      </rPr>
      <t>$ 139.00</t>
    </r>
  </si>
  <si>
    <r>
      <rPr>
        <sz val="8"/>
        <color rgb="FF231F20"/>
        <rFont val="Arial"/>
        <family val="34"/>
      </rPr>
      <t>Measured by the surface area of the deck or top. seldom over 10 ft. from</t>
    </r>
  </si>
  <si>
    <r>
      <rPr>
        <sz val="8"/>
        <color rgb="FF231F20"/>
        <rFont val="Arial"/>
        <family val="34"/>
      </rPr>
      <t>deck to base. (Does not include road base material.)</t>
    </r>
  </si>
  <si>
    <r>
      <rPr>
        <sz val="8"/>
        <color rgb="FF231F20"/>
        <rFont val="Arial"/>
        <family val="34"/>
      </rPr>
      <t>CONCRETE SLAB BRIDGE (INTEGRAL ABUTMENT)</t>
    </r>
  </si>
  <si>
    <r>
      <rPr>
        <sz val="8"/>
        <color rgb="FF231F20"/>
        <rFont val="Arial"/>
        <family val="34"/>
      </rPr>
      <t>$ 330.00</t>
    </r>
  </si>
  <si>
    <r>
      <rPr>
        <sz val="8"/>
        <color rgb="FF231F20"/>
        <rFont val="Arial"/>
        <family val="34"/>
      </rPr>
      <t>A bridge where the abutments are poured as a part of the bridge deck.</t>
    </r>
  </si>
  <si>
    <r>
      <rPr>
        <sz val="8"/>
        <color rgb="FF231F20"/>
        <rFont val="Arial"/>
        <family val="34"/>
      </rPr>
      <t>Measured by the surface area of the deck.</t>
    </r>
  </si>
  <si>
    <r>
      <rPr>
        <sz val="8"/>
        <color rgb="FF231F20"/>
        <rFont val="Arial"/>
        <family val="34"/>
      </rPr>
      <t>CONCRETE SLAB BRIDGE (VERTICAL ABUTMENT)</t>
    </r>
  </si>
  <si>
    <r>
      <rPr>
        <sz val="8"/>
        <color rgb="FF231F20"/>
        <rFont val="Arial"/>
        <family val="34"/>
      </rPr>
      <t>$ 552.00</t>
    </r>
  </si>
  <si>
    <r>
      <rPr>
        <sz val="8"/>
        <color rgb="FF231F20"/>
        <rFont val="Arial"/>
        <family val="34"/>
      </rPr>
      <t>Same as Code 3240 except abutments are independent from the bridge</t>
    </r>
  </si>
  <si>
    <r>
      <rPr>
        <sz val="8"/>
        <color rgb="FF231F20"/>
        <rFont val="Arial"/>
        <family val="34"/>
      </rPr>
      <t>deck.</t>
    </r>
  </si>
  <si>
    <r>
      <rPr>
        <sz val="8"/>
        <color rgb="FF231F20"/>
        <rFont val="Arial"/>
        <family val="34"/>
      </rPr>
      <t>BRIDGE CONCRETE PRECAST (CHANNEL UNDER 40')</t>
    </r>
  </si>
  <si>
    <r>
      <rPr>
        <sz val="8"/>
        <color rgb="FF231F20"/>
        <rFont val="Arial"/>
        <family val="34"/>
      </rPr>
      <t>$ 435.00</t>
    </r>
  </si>
  <si>
    <r>
      <rPr>
        <sz val="8"/>
        <color rgb="FF231F20"/>
        <rFont val="Arial"/>
        <family val="34"/>
      </rPr>
      <t>Precast concrete bridge deck where the stream channel is under 40 feet in</t>
    </r>
  </si>
  <si>
    <r>
      <rPr>
        <sz val="8"/>
        <color rgb="FF231F20"/>
        <rFont val="Arial"/>
        <family val="34"/>
      </rPr>
      <t>length. Includes substructure but not approaches.</t>
    </r>
  </si>
  <si>
    <r>
      <rPr>
        <sz val="8"/>
        <color rgb="FF231F20"/>
        <rFont val="Arial"/>
        <family val="34"/>
      </rPr>
      <t>BRIDGE CONCRETE PRECAST (CHANNEL OVER 40')</t>
    </r>
  </si>
  <si>
    <r>
      <rPr>
        <sz val="8"/>
        <color rgb="FF231F20"/>
        <rFont val="Arial"/>
        <family val="34"/>
      </rPr>
      <t>$ 392.00</t>
    </r>
  </si>
  <si>
    <r>
      <rPr>
        <sz val="8"/>
        <color rgb="FF231F20"/>
        <rFont val="Arial"/>
        <family val="34"/>
      </rPr>
      <t>Same as Code 3242 except stream channel is wider than 40 feet.</t>
    </r>
  </si>
  <si>
    <r>
      <rPr>
        <sz val="8"/>
        <color rgb="FF231F20"/>
        <rFont val="Arial"/>
        <family val="34"/>
      </rPr>
      <t>BRIDGE BEAM (W ITH EXISTING ABUTMENT)</t>
    </r>
  </si>
  <si>
    <r>
      <rPr>
        <sz val="8"/>
        <color rgb="FF231F20"/>
        <rFont val="Arial"/>
        <family val="34"/>
      </rPr>
      <t>$ 304.55</t>
    </r>
  </si>
  <si>
    <r>
      <rPr>
        <sz val="8"/>
        <color rgb="FF231F20"/>
        <rFont val="Arial"/>
        <family val="34"/>
      </rPr>
      <t>Concrete bridge deck and beams in place on existing abutments.</t>
    </r>
  </si>
  <si>
    <r>
      <rPr>
        <sz val="8"/>
        <color rgb="FF231F20"/>
        <rFont val="Arial"/>
        <family val="34"/>
      </rPr>
      <t>SLOPE PROTECTION RIP RAP</t>
    </r>
  </si>
  <si>
    <r>
      <rPr>
        <sz val="8"/>
        <color rgb="FF231F20"/>
        <rFont val="Arial"/>
        <family val="34"/>
      </rPr>
      <t>$ 65.86</t>
    </r>
  </si>
  <si>
    <r>
      <rPr>
        <sz val="8"/>
        <color rgb="FF231F20"/>
        <rFont val="Arial"/>
        <family val="34"/>
      </rPr>
      <t>Riprap that is hand placed for a more uniform thickness (in place) See</t>
    </r>
  </si>
  <si>
    <r>
      <rPr>
        <sz val="8"/>
        <color rgb="FF231F20"/>
        <rFont val="Arial"/>
        <family val="34"/>
      </rPr>
      <t>Code 4081</t>
    </r>
  </si>
  <si>
    <r>
      <rPr>
        <sz val="8"/>
        <color rgb="FF231F20"/>
        <rFont val="Arial"/>
        <family val="34"/>
      </rPr>
      <t>SLOPE PROTECTION RIP RAP (DUMPED)</t>
    </r>
  </si>
  <si>
    <r>
      <rPr>
        <sz val="8"/>
        <color rgb="FF231F20"/>
        <rFont val="Arial"/>
        <family val="34"/>
      </rPr>
      <t>$ 16.00</t>
    </r>
  </si>
  <si>
    <r>
      <rPr>
        <sz val="8"/>
        <color rgb="FF231F20"/>
        <rFont val="Arial"/>
        <family val="34"/>
      </rPr>
      <t>Same as Code 3250 except not hand placed for uniform thickness (in</t>
    </r>
  </si>
  <si>
    <r>
      <rPr>
        <sz val="8"/>
        <color rgb="FF231F20"/>
        <rFont val="Arial"/>
        <family val="34"/>
      </rPr>
      <t>place) See Code 4070</t>
    </r>
  </si>
  <si>
    <r>
      <rPr>
        <sz val="8"/>
        <color rgb="FF231F20"/>
        <rFont val="Arial"/>
        <family val="34"/>
      </rPr>
      <t>RIP RAP BAGGED</t>
    </r>
  </si>
  <si>
    <r>
      <rPr>
        <sz val="8"/>
        <color rgb="FF231F20"/>
        <rFont val="Arial"/>
        <family val="34"/>
      </rPr>
      <t>$ 48.00</t>
    </r>
  </si>
  <si>
    <r>
      <rPr>
        <sz val="8"/>
        <color rgb="FF231F20"/>
        <rFont val="Arial"/>
        <family val="34"/>
      </rPr>
      <t xml:space="preserve">A sand or sand and cement mixture placed in bags and arranged on slope
</t>
    </r>
    <r>
      <rPr>
        <sz val="8"/>
        <color rgb="FF231F20"/>
        <rFont val="Arial"/>
        <family val="34"/>
      </rPr>
      <t>(in place)</t>
    </r>
  </si>
  <si>
    <r>
      <rPr>
        <sz val="8"/>
        <color rgb="FF231F20"/>
        <rFont val="Arial"/>
        <family val="34"/>
      </rPr>
      <t>STONE DITCH PROTECTION</t>
    </r>
  </si>
  <si>
    <r>
      <rPr>
        <sz val="8"/>
        <color rgb="FF231F20"/>
        <rFont val="Arial"/>
        <family val="34"/>
      </rPr>
      <t>$ 56.88</t>
    </r>
  </si>
  <si>
    <r>
      <rPr>
        <sz val="8"/>
        <color rgb="FF231F20"/>
        <rFont val="Arial"/>
        <family val="34"/>
      </rPr>
      <t>Fractured stone between 6"-12" in diameter.</t>
    </r>
  </si>
  <si>
    <r>
      <rPr>
        <sz val="8"/>
        <color rgb="FF231F20"/>
        <rFont val="Arial"/>
        <family val="34"/>
      </rPr>
      <t>SLOPE PROTECTION CONCRETE</t>
    </r>
  </si>
  <si>
    <r>
      <rPr>
        <sz val="8"/>
        <color rgb="FF231F20"/>
        <rFont val="Arial"/>
        <family val="34"/>
      </rPr>
      <t>$ 50.00</t>
    </r>
  </si>
  <si>
    <r>
      <rPr>
        <sz val="8"/>
        <color rgb="FF231F20"/>
        <rFont val="Arial"/>
        <family val="34"/>
      </rPr>
      <t>Usually approximately 4" thick concrete slope protection around bridge</t>
    </r>
  </si>
  <si>
    <r>
      <rPr>
        <sz val="8"/>
        <color rgb="FF231F20"/>
        <rFont val="Arial"/>
        <family val="34"/>
      </rPr>
      <t>abutments (in place finished)</t>
    </r>
  </si>
  <si>
    <r>
      <rPr>
        <sz val="8"/>
        <color rgb="FF231F20"/>
        <rFont val="Arial"/>
        <family val="34"/>
      </rPr>
      <t>ROCK W ALL</t>
    </r>
  </si>
  <si>
    <r>
      <rPr>
        <sz val="8"/>
        <color rgb="FF231F20"/>
        <rFont val="Arial"/>
        <family val="34"/>
      </rPr>
      <t>Vertical retaining wall made up of local rock and mortar.</t>
    </r>
  </si>
  <si>
    <r>
      <rPr>
        <sz val="8"/>
        <color rgb="FF231F20"/>
        <rFont val="Arial"/>
        <family val="34"/>
      </rPr>
      <t>Use local price per square foot or by cost code #9999 for lump sum.</t>
    </r>
  </si>
  <si>
    <t>BRIDGE AND BOX CULVERT REMOVAL (10 MI R/T HAUL)
Break-up, load and haul to dump for disposal (10 mi. R/T) measured by surface area of deck.</t>
  </si>
  <si>
    <r>
      <rPr>
        <sz val="8"/>
        <color rgb="FF231F20"/>
        <rFont val="Arial"/>
        <family val="34"/>
      </rPr>
      <t>$ 15.00</t>
    </r>
  </si>
  <si>
    <r>
      <rPr>
        <sz val="8"/>
        <color rgb="FF231F20"/>
        <rFont val="Arial"/>
        <family val="34"/>
      </rPr>
      <t>CONCRETE AND MASONRY REMOVAL (10 MI R/T HAUL) Break up and haul to dump for disposal (10 mile R/T)</t>
    </r>
  </si>
  <si>
    <r>
      <rPr>
        <sz val="8"/>
        <color rgb="FF231F20"/>
        <rFont val="Arial"/>
        <family val="34"/>
      </rPr>
      <t>$ 140.00</t>
    </r>
  </si>
  <si>
    <r>
      <rPr>
        <sz val="8"/>
        <color rgb="FF231F20"/>
        <rFont val="Arial"/>
        <family val="34"/>
      </rPr>
      <t>BRIDGE W OOD AND BEAM REMOVAL</t>
    </r>
  </si>
  <si>
    <r>
      <rPr>
        <sz val="8"/>
        <color rgb="FF231F20"/>
        <rFont val="Arial"/>
        <family val="34"/>
      </rPr>
      <t>Dismantle, load and haul to dump (10 mile R/T) (minus salvage) measured</t>
    </r>
  </si>
  <si>
    <r>
      <rPr>
        <sz val="8"/>
        <color rgb="FF231F20"/>
        <rFont val="Arial"/>
        <family val="34"/>
      </rPr>
      <t>by surface area of deck.</t>
    </r>
  </si>
  <si>
    <r>
      <rPr>
        <sz val="8"/>
        <color rgb="FF231F20"/>
        <rFont val="Arial"/>
        <family val="34"/>
      </rPr>
      <t>MBF</t>
    </r>
  </si>
  <si>
    <r>
      <rPr>
        <sz val="8"/>
        <color rgb="FF231F20"/>
        <rFont val="Arial"/>
        <family val="34"/>
      </rPr>
      <t>TREATED TIMBER (FOB)</t>
    </r>
  </si>
  <si>
    <r>
      <rPr>
        <sz val="8"/>
        <color rgb="FF231F20"/>
        <rFont val="Arial"/>
        <family val="34"/>
      </rPr>
      <t>$ 945.00</t>
    </r>
  </si>
  <si>
    <r>
      <rPr>
        <sz val="8"/>
        <color rgb="FF231F20"/>
        <rFont val="Arial"/>
        <family val="34"/>
      </rPr>
      <t>Delivered to job site. Do not forget to divide by 1,000.</t>
    </r>
  </si>
  <si>
    <r>
      <rPr>
        <sz val="8"/>
        <color rgb="FF231F20"/>
        <rFont val="Arial"/>
        <family val="34"/>
      </rPr>
      <t>TREATED TIMBER (IN PLACE)</t>
    </r>
  </si>
  <si>
    <r>
      <rPr>
        <sz val="8"/>
        <color rgb="FF231F20"/>
        <rFont val="Arial"/>
        <family val="34"/>
      </rPr>
      <t>$ 1,800.00</t>
    </r>
  </si>
  <si>
    <r>
      <rPr>
        <sz val="8"/>
        <color rgb="FF231F20"/>
        <rFont val="Arial"/>
        <family val="34"/>
      </rPr>
      <t>Used in headwalls, retaining walls, wingwalls, etc.</t>
    </r>
  </si>
  <si>
    <r>
      <rPr>
        <sz val="8"/>
        <color rgb="FF231F20"/>
        <rFont val="Arial"/>
        <family val="34"/>
      </rPr>
      <t>BRIDGE TREATED TIMBER IN PLACE</t>
    </r>
  </si>
  <si>
    <r>
      <rPr>
        <sz val="8"/>
        <color rgb="FF231F20"/>
        <rFont val="Arial"/>
        <family val="34"/>
      </rPr>
      <t>Measured by surface area of deck.</t>
    </r>
  </si>
  <si>
    <r>
      <rPr>
        <sz val="8"/>
        <color rgb="FF231F20"/>
        <rFont val="Arial"/>
        <family val="34"/>
      </rPr>
      <t>BRIDGE RAILING (APPROACH)</t>
    </r>
  </si>
  <si>
    <r>
      <rPr>
        <sz val="8"/>
        <color rgb="FF231F20"/>
        <rFont val="Arial"/>
        <family val="34"/>
      </rPr>
      <t>$ 18.00</t>
    </r>
  </si>
  <si>
    <r>
      <rPr>
        <sz val="8"/>
        <color rgb="FF231F20"/>
        <rFont val="Arial"/>
        <family val="34"/>
      </rPr>
      <t>Usually a metal guard rail type placement cost by linear foot of railing.</t>
    </r>
  </si>
  <si>
    <r>
      <rPr>
        <sz val="8"/>
        <color rgb="FF231F20"/>
        <rFont val="Arial"/>
        <family val="34"/>
      </rPr>
      <t>BRIDGE RAILING (BRIDGE ITSELF)</t>
    </r>
  </si>
  <si>
    <r>
      <rPr>
        <sz val="8"/>
        <color rgb="FF231F20"/>
        <rFont val="Arial"/>
        <family val="34"/>
      </rPr>
      <t>$ 45.00</t>
    </r>
  </si>
  <si>
    <r>
      <rPr>
        <sz val="8"/>
        <color rgb="FF231F20"/>
        <rFont val="Arial"/>
        <family val="34"/>
      </rPr>
      <t>Cost by linear foot of railing.</t>
    </r>
  </si>
  <si>
    <r>
      <rPr>
        <sz val="8"/>
        <color rgb="FF231F20"/>
        <rFont val="Arial"/>
        <family val="34"/>
      </rPr>
      <t>EXCAVATION STRUCTURAL</t>
    </r>
  </si>
  <si>
    <r>
      <rPr>
        <sz val="8"/>
        <color rgb="FF231F20"/>
        <rFont val="Arial"/>
        <family val="34"/>
      </rPr>
      <t>$ 28.80</t>
    </r>
  </si>
  <si>
    <r>
      <rPr>
        <sz val="8"/>
        <color rgb="FF231F20"/>
        <rFont val="Arial"/>
        <family val="34"/>
      </rPr>
      <t>Excavation done to close tolerances for placement of structures, could</t>
    </r>
  </si>
  <si>
    <r>
      <rPr>
        <sz val="8"/>
        <color rgb="FF231F20"/>
        <rFont val="Arial"/>
        <family val="34"/>
      </rPr>
      <t>include some hand excavation. No haul.</t>
    </r>
  </si>
  <si>
    <r>
      <rPr>
        <sz val="8"/>
        <color rgb="FF231F20"/>
        <rFont val="Arial"/>
        <family val="34"/>
      </rPr>
      <t>BACKFILL STRUCTURAL</t>
    </r>
  </si>
  <si>
    <r>
      <rPr>
        <sz val="8"/>
        <color rgb="FF231F20"/>
        <rFont val="Arial"/>
        <family val="34"/>
      </rPr>
      <t>$ 31.00</t>
    </r>
  </si>
  <si>
    <r>
      <rPr>
        <sz val="8"/>
        <color rgb="FF231F20"/>
        <rFont val="Arial"/>
        <family val="34"/>
      </rPr>
      <t>Backfill around structures such as behind wingwalls, headwalls, etc.</t>
    </r>
  </si>
  <si>
    <r>
      <rPr>
        <sz val="8"/>
        <color rgb="FF231F20"/>
        <rFont val="Arial"/>
        <family val="34"/>
      </rPr>
      <t>includes placement and compaction only.</t>
    </r>
  </si>
  <si>
    <r>
      <rPr>
        <sz val="8"/>
        <color rgb="FF231F20"/>
        <rFont val="Arial"/>
        <family val="34"/>
      </rPr>
      <t>BEDDING MATERIAL (SELECT GRANULAR)</t>
    </r>
  </si>
  <si>
    <r>
      <rPr>
        <sz val="8"/>
        <color rgb="FF231F20"/>
        <rFont val="Arial"/>
        <family val="34"/>
      </rPr>
      <t>A sand or aggregate material used beneath structures such as concrete</t>
    </r>
  </si>
  <si>
    <r>
      <rPr>
        <sz val="8"/>
        <color rgb="FF231F20"/>
        <rFont val="Arial"/>
        <family val="34"/>
      </rPr>
      <t>slab, culvert, etc.</t>
    </r>
  </si>
  <si>
    <r>
      <rPr>
        <sz val="8"/>
        <color rgb="FF231F20"/>
        <rFont val="Arial"/>
        <family val="34"/>
      </rPr>
      <t>PILING (TREATED LUMBER) FURN. &amp; DRIVEN</t>
    </r>
  </si>
  <si>
    <r>
      <rPr>
        <sz val="8"/>
        <color rgb="FF231F20"/>
        <rFont val="Arial"/>
        <family val="34"/>
      </rPr>
      <t>$ 21.80</t>
    </r>
  </si>
  <si>
    <r>
      <rPr>
        <sz val="8"/>
        <color rgb="FF231F20"/>
        <rFont val="Arial"/>
        <family val="34"/>
      </rPr>
      <t>For use on bridge, retaining walls, etc.</t>
    </r>
  </si>
  <si>
    <r>
      <rPr>
        <sz val="8"/>
        <color rgb="FF231F20"/>
        <rFont val="Arial"/>
        <family val="34"/>
      </rPr>
      <t>PILING (STEEL SHEET) FURN. &amp; DRIVEN</t>
    </r>
  </si>
  <si>
    <r>
      <rPr>
        <sz val="8"/>
        <color rgb="FF231F20"/>
        <rFont val="Arial"/>
        <family val="34"/>
      </rPr>
      <t>$ 19.80</t>
    </r>
  </si>
  <si>
    <r>
      <rPr>
        <sz val="8"/>
        <color rgb="FF231F20"/>
        <rFont val="Arial"/>
        <family val="34"/>
      </rPr>
      <t xml:space="preserve">For use on coffer dams, retention dike, shoring, etc. Cost per linear foot for
</t>
    </r>
    <r>
      <rPr>
        <sz val="8"/>
        <color rgb="FF231F20"/>
        <rFont val="Arial"/>
        <family val="34"/>
      </rPr>
      <t>14" width sheets.</t>
    </r>
  </si>
  <si>
    <r>
      <rPr>
        <sz val="8"/>
        <color rgb="FF231F20"/>
        <rFont val="Arial"/>
        <family val="34"/>
      </rPr>
      <t>PILING (H-BEAM) FURN. &amp; DRIVEN</t>
    </r>
  </si>
  <si>
    <r>
      <rPr>
        <sz val="8"/>
        <color rgb="FF231F20"/>
        <rFont val="Arial"/>
        <family val="34"/>
      </rPr>
      <t>$ 21.50</t>
    </r>
  </si>
  <si>
    <r>
      <rPr>
        <sz val="8"/>
        <color rgb="FF231F20"/>
        <rFont val="Arial"/>
        <family val="34"/>
      </rPr>
      <t>In place cost</t>
    </r>
  </si>
  <si>
    <r>
      <rPr>
        <sz val="8"/>
        <color rgb="FF231F20"/>
        <rFont val="Arial"/>
        <family val="34"/>
      </rPr>
      <t>CULVERT RELAY (SALVAGE 12" - 48")</t>
    </r>
  </si>
  <si>
    <r>
      <rPr>
        <sz val="8"/>
        <color rgb="FF231F20"/>
        <rFont val="Arial"/>
        <family val="34"/>
      </rPr>
      <t>$ 31.10</t>
    </r>
  </si>
  <si>
    <r>
      <rPr>
        <sz val="8"/>
        <color rgb="FF231F20"/>
        <rFont val="Arial"/>
        <family val="34"/>
      </rPr>
      <t>Pull our salvageable culvert, replace bedding and reinstall culvert,</t>
    </r>
  </si>
  <si>
    <r>
      <rPr>
        <sz val="8"/>
        <color rgb="FF231F20"/>
        <rFont val="Arial"/>
        <family val="34"/>
      </rPr>
      <t>including backfill and compaction (in place)</t>
    </r>
  </si>
  <si>
    <r>
      <rPr>
        <sz val="8"/>
        <color rgb="FF231F20"/>
        <rFont val="Arial"/>
        <family val="34"/>
      </rPr>
      <t>12" HDPE SL CULVERT (FURNISH AND INSTALL)</t>
    </r>
  </si>
  <si>
    <r>
      <rPr>
        <sz val="8"/>
        <color rgb="FF231F20"/>
        <rFont val="Arial"/>
        <family val="34"/>
      </rPr>
      <t>$ 37.88</t>
    </r>
  </si>
  <si>
    <r>
      <rPr>
        <sz val="8"/>
        <color rgb="FF231F20"/>
        <rFont val="Arial"/>
        <family val="34"/>
      </rPr>
      <t>12" High density polyethylene smooth lined culvert.</t>
    </r>
  </si>
  <si>
    <r>
      <rPr>
        <sz val="8"/>
        <color rgb="FF231F20"/>
        <rFont val="Arial"/>
        <family val="34"/>
      </rPr>
      <t>15" HDPE SL CULVERT (FURNISH AND INSTALL)</t>
    </r>
  </si>
  <si>
    <r>
      <rPr>
        <sz val="8"/>
        <color rgb="FF231F20"/>
        <rFont val="Arial"/>
        <family val="34"/>
      </rPr>
      <t>$ 38.26</t>
    </r>
  </si>
  <si>
    <r>
      <rPr>
        <sz val="8"/>
        <color rgb="FF231F20"/>
        <rFont val="Arial"/>
        <family val="34"/>
      </rPr>
      <t>15" diameter high density polyethylene smooth lined culvert.</t>
    </r>
  </si>
  <si>
    <r>
      <rPr>
        <sz val="8"/>
        <color rgb="FF231F20"/>
        <rFont val="Arial"/>
        <family val="34"/>
      </rPr>
      <t>18" HDPE SL CULVERT (FURNISH AND INSTALL)</t>
    </r>
  </si>
  <si>
    <r>
      <rPr>
        <sz val="8"/>
        <color rgb="FF231F20"/>
        <rFont val="Arial"/>
        <family val="34"/>
      </rPr>
      <t>$ 43.15</t>
    </r>
  </si>
  <si>
    <r>
      <rPr>
        <sz val="8"/>
        <color rgb="FF231F20"/>
        <rFont val="Arial"/>
        <family val="34"/>
      </rPr>
      <t>18" diameter high density polyethylene smooth lined culvert.</t>
    </r>
  </si>
  <si>
    <r>
      <rPr>
        <sz val="8"/>
        <color rgb="FF231F20"/>
        <rFont val="Arial"/>
        <family val="34"/>
      </rPr>
      <t>24" HDPE SL CULVERT (FURNISH AND INSTALL)</t>
    </r>
  </si>
  <si>
    <r>
      <rPr>
        <sz val="8"/>
        <color rgb="FF231F20"/>
        <rFont val="Arial"/>
        <family val="34"/>
      </rPr>
      <t>$ 60.00</t>
    </r>
  </si>
  <si>
    <r>
      <rPr>
        <sz val="8"/>
        <color rgb="FF231F20"/>
        <rFont val="Arial"/>
        <family val="34"/>
      </rPr>
      <t>24" diameter high density polyethylene smooth lined culvert.</t>
    </r>
  </si>
  <si>
    <r>
      <rPr>
        <sz val="8"/>
        <color rgb="FF231F20"/>
        <rFont val="Arial"/>
        <family val="34"/>
      </rPr>
      <t>30" HDPE SL CULVERT (FURNISH AND INSTALL)</t>
    </r>
  </si>
  <si>
    <r>
      <rPr>
        <sz val="8"/>
        <color rgb="FF231F20"/>
        <rFont val="Arial"/>
        <family val="34"/>
      </rPr>
      <t>$ 64.95</t>
    </r>
  </si>
  <si>
    <r>
      <rPr>
        <sz val="8"/>
        <color rgb="FF231F20"/>
        <rFont val="Arial"/>
        <family val="34"/>
      </rPr>
      <t>30" diameter high density polyethylene smooth lined culvert.</t>
    </r>
  </si>
  <si>
    <r>
      <rPr>
        <sz val="8"/>
        <color rgb="FF231F20"/>
        <rFont val="Arial"/>
        <family val="34"/>
      </rPr>
      <t>36" HDPE SL CULVERT (FURNISH AND INSTALL)</t>
    </r>
  </si>
  <si>
    <r>
      <rPr>
        <sz val="8"/>
        <color rgb="FF231F20"/>
        <rFont val="Arial"/>
        <family val="34"/>
      </rPr>
      <t>$ 79.19</t>
    </r>
  </si>
  <si>
    <r>
      <rPr>
        <sz val="8"/>
        <color rgb="FF231F20"/>
        <rFont val="Arial"/>
        <family val="34"/>
      </rPr>
      <t>36" diameter high density polyethylene smooth lined culvert.</t>
    </r>
  </si>
  <si>
    <r>
      <rPr>
        <sz val="8"/>
        <color rgb="FF231F20"/>
        <rFont val="Arial"/>
        <family val="34"/>
      </rPr>
      <t>42" HDPE SL CULVERT (FURNISH AND INSTALL0</t>
    </r>
  </si>
  <si>
    <r>
      <rPr>
        <sz val="8"/>
        <color rgb="FF231F20"/>
        <rFont val="Arial"/>
        <family val="34"/>
      </rPr>
      <t>$ 119.58</t>
    </r>
  </si>
  <si>
    <r>
      <rPr>
        <sz val="8"/>
        <color rgb="FF231F20"/>
        <rFont val="Arial"/>
        <family val="34"/>
      </rPr>
      <t>42" diameter high density polyethylene smooth lined culvert..</t>
    </r>
  </si>
  <si>
    <r>
      <rPr>
        <sz val="8"/>
        <color rgb="FF231F20"/>
        <rFont val="Arial"/>
        <family val="34"/>
      </rPr>
      <t>48" HDPE SL CULVERT (FURNISH AND INSTALL)</t>
    </r>
  </si>
  <si>
    <r>
      <rPr>
        <sz val="8"/>
        <color rgb="FF231F20"/>
        <rFont val="Arial"/>
        <family val="34"/>
      </rPr>
      <t>$ 193.86</t>
    </r>
  </si>
  <si>
    <r>
      <rPr>
        <sz val="8"/>
        <color rgb="FF231F20"/>
        <rFont val="Arial"/>
        <family val="34"/>
      </rPr>
      <t>48"  diameter high density polyethylene smooth lined culvert..</t>
    </r>
  </si>
  <si>
    <r>
      <rPr>
        <sz val="8"/>
        <color rgb="FF231F20"/>
        <rFont val="Arial"/>
        <family val="34"/>
      </rPr>
      <t>60" HDPE SL CULVERT (FURNISH AND INSTALL)</t>
    </r>
  </si>
  <si>
    <r>
      <rPr>
        <sz val="8"/>
        <color rgb="FF231F20"/>
        <rFont val="Arial"/>
        <family val="34"/>
      </rPr>
      <t>$ 266.67</t>
    </r>
  </si>
  <si>
    <r>
      <rPr>
        <sz val="8"/>
        <color rgb="FF231F20"/>
        <rFont val="Arial"/>
        <family val="34"/>
      </rPr>
      <t>60" diameter high density polyethylene smooth lined culvert..</t>
    </r>
  </si>
  <si>
    <t>8" CMP (FURNISH AND INSTALL)
This is a corrugated metal pipe with asphalt coating. Installation includes pipe, bedding and backfill for culverts of normal depth (max. 5ft.) from top of culvert to roadway. This does not include paved surface replacement.</t>
  </si>
  <si>
    <r>
      <rPr>
        <sz val="8"/>
        <color rgb="FF231F20"/>
        <rFont val="Arial"/>
        <family val="34"/>
      </rPr>
      <t>$ 13.00</t>
    </r>
  </si>
  <si>
    <t>12" CMP (FURNISH AND INSTALL)</t>
  </si>
  <si>
    <r>
      <rPr>
        <sz val="8"/>
        <color rgb="FF231F20"/>
        <rFont val="Arial"/>
        <family val="34"/>
      </rPr>
      <t>Same as Code 3350 except 12" diameter.</t>
    </r>
  </si>
  <si>
    <r>
      <rPr>
        <sz val="8"/>
        <color rgb="FF231F20"/>
        <rFont val="Arial"/>
        <family val="34"/>
      </rPr>
      <t>15" CMP (FURNISH AND INSTALL)</t>
    </r>
  </si>
  <si>
    <r>
      <rPr>
        <sz val="8"/>
        <color rgb="FF231F20"/>
        <rFont val="Arial"/>
        <family val="34"/>
      </rPr>
      <t>Same as Code 3350 except 15" diameter.</t>
    </r>
  </si>
  <si>
    <r>
      <rPr>
        <sz val="8"/>
        <color rgb="FF231F20"/>
        <rFont val="Arial"/>
        <family val="34"/>
      </rPr>
      <t>18" CMP (FURNISH AND INSTALL)</t>
    </r>
  </si>
  <si>
    <r>
      <rPr>
        <sz val="8"/>
        <color rgb="FF231F20"/>
        <rFont val="Arial"/>
        <family val="34"/>
      </rPr>
      <t>Same as Code 3350 except 18" diameter.</t>
    </r>
  </si>
  <si>
    <r>
      <rPr>
        <sz val="8"/>
        <color rgb="FF231F20"/>
        <rFont val="Arial"/>
        <family val="34"/>
      </rPr>
      <t>24" CMP (FURNISH AND INSTALL)</t>
    </r>
  </si>
  <si>
    <r>
      <rPr>
        <sz val="8"/>
        <color rgb="FF231F20"/>
        <rFont val="Arial"/>
        <family val="34"/>
      </rPr>
      <t>Same as Code 3350 except 24" diameter.</t>
    </r>
  </si>
  <si>
    <r>
      <rPr>
        <sz val="8"/>
        <color rgb="FF231F20"/>
        <rFont val="Arial"/>
        <family val="34"/>
      </rPr>
      <t>30" CMP (FURNISH AND INSTALL)</t>
    </r>
  </si>
  <si>
    <r>
      <rPr>
        <sz val="8"/>
        <color rgb="FF231F20"/>
        <rFont val="Arial"/>
        <family val="34"/>
      </rPr>
      <t>Same as Code 3350 except 30" diameter.</t>
    </r>
  </si>
  <si>
    <r>
      <rPr>
        <sz val="8"/>
        <color rgb="FF231F20"/>
        <rFont val="Arial"/>
        <family val="34"/>
      </rPr>
      <t>CMP 36" (FURNISH AND INSTALL)</t>
    </r>
  </si>
  <si>
    <r>
      <rPr>
        <sz val="8"/>
        <color rgb="FF231F20"/>
        <rFont val="Arial"/>
        <family val="34"/>
      </rPr>
      <t>Same as Code3350 except 36" diameter</t>
    </r>
  </si>
  <si>
    <r>
      <rPr>
        <sz val="8"/>
        <color rgb="FF231F20"/>
        <rFont val="Arial"/>
        <family val="34"/>
      </rPr>
      <t>42" CMP (FURNISH AND INSTALL)</t>
    </r>
  </si>
  <si>
    <r>
      <rPr>
        <sz val="8"/>
        <color rgb="FF231F20"/>
        <rFont val="Arial"/>
        <family val="34"/>
      </rPr>
      <t>Same as Code 3350 except 42" diameter.</t>
    </r>
  </si>
  <si>
    <r>
      <rPr>
        <sz val="8"/>
        <color rgb="FF231F20"/>
        <rFont val="Arial"/>
        <family val="34"/>
      </rPr>
      <t>48" CMP (FURNISH AND INSTALL)</t>
    </r>
  </si>
  <si>
    <r>
      <rPr>
        <sz val="8"/>
        <color rgb="FF231F20"/>
        <rFont val="Arial"/>
        <family val="34"/>
      </rPr>
      <t>Same as Code 3350 except 48" diameter/</t>
    </r>
  </si>
  <si>
    <r>
      <rPr>
        <sz val="8"/>
        <color rgb="FF231F20"/>
        <rFont val="Arial"/>
        <family val="34"/>
      </rPr>
      <t>54" CMP (FURNISH AND INSTALL)</t>
    </r>
  </si>
  <si>
    <r>
      <rPr>
        <sz val="8"/>
        <color rgb="FF231F20"/>
        <rFont val="Arial"/>
        <family val="34"/>
      </rPr>
      <t>$ 265.04</t>
    </r>
  </si>
  <si>
    <r>
      <rPr>
        <sz val="8"/>
        <color rgb="FF231F20"/>
        <rFont val="Arial"/>
        <family val="34"/>
      </rPr>
      <t>Same as Code 3350 except 54" diameter.</t>
    </r>
  </si>
  <si>
    <r>
      <rPr>
        <sz val="8"/>
        <color rgb="FF231F20"/>
        <rFont val="Arial"/>
        <family val="34"/>
      </rPr>
      <t>60" CMP (FURNISH AND INSTALL)</t>
    </r>
  </si>
  <si>
    <r>
      <rPr>
        <sz val="8"/>
        <color rgb="FF231F20"/>
        <rFont val="Arial"/>
        <family val="34"/>
      </rPr>
      <t>Same as Code 3350 except 60" diameter.</t>
    </r>
  </si>
  <si>
    <r>
      <rPr>
        <sz val="8"/>
        <color rgb="FF231F20"/>
        <rFont val="Arial"/>
        <family val="34"/>
      </rPr>
      <t>72"CMP (FURNISH AND INSTALL)</t>
    </r>
  </si>
  <si>
    <r>
      <rPr>
        <sz val="8"/>
        <color rgb="FF231F20"/>
        <rFont val="Arial"/>
        <family val="34"/>
      </rPr>
      <t>$ 318.90</t>
    </r>
  </si>
  <si>
    <r>
      <rPr>
        <sz val="8"/>
        <color rgb="FF231F20"/>
        <rFont val="Arial"/>
        <family val="34"/>
      </rPr>
      <t>Same as Code 3350 except 72" diameter</t>
    </r>
  </si>
  <si>
    <r>
      <rPr>
        <sz val="8"/>
        <color rgb="FF231F20"/>
        <rFont val="Arial"/>
        <family val="34"/>
      </rPr>
      <t>96" CMP (FURNISH AND INSTALL)</t>
    </r>
  </si>
  <si>
    <r>
      <rPr>
        <sz val="8"/>
        <color rgb="FF231F20"/>
        <rFont val="Arial"/>
        <family val="34"/>
      </rPr>
      <t>$ 156.00</t>
    </r>
  </si>
  <si>
    <r>
      <rPr>
        <sz val="8"/>
        <color rgb="FF231F20"/>
        <rFont val="Arial"/>
        <family val="34"/>
      </rPr>
      <t>Same as Code 3350 except 96" diameter.</t>
    </r>
  </si>
  <si>
    <r>
      <rPr>
        <sz val="8"/>
        <color rgb="FF231F20"/>
        <rFont val="Arial"/>
        <family val="34"/>
      </rPr>
      <t>108" CMP (FURNISH AND INSTALL)</t>
    </r>
  </si>
  <si>
    <r>
      <rPr>
        <sz val="8"/>
        <color rgb="FF231F20"/>
        <rFont val="Arial"/>
        <family val="34"/>
      </rPr>
      <t>Same as Code 3350 except 108" diameter</t>
    </r>
  </si>
  <si>
    <r>
      <rPr>
        <sz val="8"/>
        <color rgb="FF231F20"/>
        <rFont val="Arial"/>
        <family val="34"/>
      </rPr>
      <t>120" CMP (FURNISH AND INSTALL)</t>
    </r>
  </si>
  <si>
    <r>
      <rPr>
        <sz val="8"/>
        <color rgb="FF231F20"/>
        <rFont val="Arial"/>
        <family val="34"/>
      </rPr>
      <t>Same as Code 3350 except 120" diameter</t>
    </r>
  </si>
  <si>
    <r>
      <rPr>
        <sz val="8"/>
        <color rgb="FF231F20"/>
        <rFont val="Arial"/>
        <family val="34"/>
      </rPr>
      <t>CORRUGATED STRUCTURE PLATE PIPE ARCH (96")</t>
    </r>
  </si>
  <si>
    <r>
      <rPr>
        <sz val="8"/>
        <color rgb="FF231F20"/>
        <rFont val="Arial"/>
        <family val="34"/>
      </rPr>
      <t>$ 230.00</t>
    </r>
  </si>
  <si>
    <r>
      <rPr>
        <sz val="8"/>
        <color rgb="FF231F20"/>
        <rFont val="Arial"/>
        <family val="34"/>
      </rPr>
      <t>A heavy gauge corrugated culvert made up of multiple plates that can be</t>
    </r>
  </si>
  <si>
    <r>
      <rPr>
        <sz val="8"/>
        <color rgb="FF231F20"/>
        <rFont val="Arial"/>
        <family val="34"/>
      </rPr>
      <t>bolted together in the field, usually larger that 96" in diameter.</t>
    </r>
  </si>
  <si>
    <r>
      <rPr>
        <sz val="8"/>
        <color rgb="FF231F20"/>
        <rFont val="Arial"/>
        <family val="34"/>
      </rPr>
      <t>RCP 12" (FURNISH AND INSTALL)</t>
    </r>
  </si>
  <si>
    <r>
      <rPr>
        <sz val="8"/>
        <color rgb="FF231F20"/>
        <rFont val="Arial"/>
        <family val="34"/>
      </rPr>
      <t>$ 44.50</t>
    </r>
  </si>
  <si>
    <r>
      <rPr>
        <sz val="8"/>
        <color rgb="FF231F20"/>
        <rFont val="Arial"/>
        <family val="34"/>
      </rPr>
      <t>This is a reinforced concrete pipe section with bell joints. Installation</t>
    </r>
  </si>
  <si>
    <r>
      <rPr>
        <sz val="8"/>
        <color rgb="FF231F20"/>
        <rFont val="Arial"/>
        <family val="34"/>
      </rPr>
      <t>includes pipe, bedding, joint sealer and backfill to a normal depth of</t>
    </r>
  </si>
  <si>
    <r>
      <rPr>
        <sz val="8"/>
        <color rgb="FF231F20"/>
        <rFont val="Arial"/>
        <family val="34"/>
      </rPr>
      <t xml:space="preserve">approximately 5ft from top of culvert to roadway. This does not include
</t>
    </r>
    <r>
      <rPr>
        <sz val="8"/>
        <color rgb="FF231F20"/>
        <rFont val="Arial"/>
        <family val="34"/>
      </rPr>
      <t>paved surface repalcement.</t>
    </r>
  </si>
  <si>
    <r>
      <rPr>
        <sz val="8"/>
        <color rgb="FF231F20"/>
        <rFont val="Arial"/>
        <family val="34"/>
      </rPr>
      <t>RCP 18" (FURNISH AND INSTALL)</t>
    </r>
  </si>
  <si>
    <r>
      <rPr>
        <sz val="8"/>
        <color rgb="FF231F20"/>
        <rFont val="Arial"/>
        <family val="34"/>
      </rPr>
      <t>$ 58.25</t>
    </r>
  </si>
  <si>
    <r>
      <rPr>
        <sz val="8"/>
        <color rgb="FF231F20"/>
        <rFont val="Arial"/>
        <family val="34"/>
      </rPr>
      <t>Same as Code 3366 except 18" diameter</t>
    </r>
  </si>
  <si>
    <r>
      <rPr>
        <sz val="8"/>
        <color rgb="FF231F20"/>
        <rFont val="Arial"/>
        <family val="34"/>
      </rPr>
      <t>RCP 24" (FURNISH AND INSTALL)</t>
    </r>
  </si>
  <si>
    <r>
      <rPr>
        <sz val="8"/>
        <color rgb="FF231F20"/>
        <rFont val="Arial"/>
        <family val="34"/>
      </rPr>
      <t>$ 69.44</t>
    </r>
  </si>
  <si>
    <r>
      <rPr>
        <sz val="8"/>
        <color rgb="FF231F20"/>
        <rFont val="Arial"/>
        <family val="34"/>
      </rPr>
      <t>Same as Code 3366 except 24" diameter.</t>
    </r>
  </si>
  <si>
    <r>
      <rPr>
        <sz val="8"/>
        <color rgb="FF231F20"/>
        <rFont val="Arial"/>
        <family val="34"/>
      </rPr>
      <t>RCP 30" (FURNISH AND INSTALL</t>
    </r>
  </si>
  <si>
    <r>
      <rPr>
        <sz val="8"/>
        <color rgb="FF231F20"/>
        <rFont val="Arial"/>
        <family val="34"/>
      </rPr>
      <t>$ 137.38</t>
    </r>
  </si>
  <si>
    <r>
      <rPr>
        <sz val="8"/>
        <color rgb="FF231F20"/>
        <rFont val="Arial"/>
        <family val="34"/>
      </rPr>
      <t>Same as Code 3366 except 30" diameter.</t>
    </r>
  </si>
  <si>
    <r>
      <rPr>
        <sz val="8"/>
        <color rgb="FF231F20"/>
        <rFont val="Arial"/>
        <family val="34"/>
      </rPr>
      <t>RCP 36" (FURNISH AND INSTALL)</t>
    </r>
  </si>
  <si>
    <r>
      <rPr>
        <sz val="8"/>
        <color rgb="FF231F20"/>
        <rFont val="Arial"/>
        <family val="34"/>
      </rPr>
      <t>$ 163.05</t>
    </r>
  </si>
  <si>
    <r>
      <rPr>
        <sz val="8"/>
        <color rgb="FF231F20"/>
        <rFont val="Arial"/>
        <family val="34"/>
      </rPr>
      <t>Same as Code 3366 except 36" diameter</t>
    </r>
  </si>
  <si>
    <r>
      <rPr>
        <sz val="8"/>
        <color rgb="FF231F20"/>
        <rFont val="Arial"/>
        <family val="34"/>
      </rPr>
      <t>RCP 42" (FURNISH AND INSTALL)</t>
    </r>
  </si>
  <si>
    <r>
      <rPr>
        <sz val="8"/>
        <color rgb="FF231F20"/>
        <rFont val="Arial"/>
        <family val="34"/>
      </rPr>
      <t>$ 191.14</t>
    </r>
  </si>
  <si>
    <r>
      <rPr>
        <sz val="8"/>
        <color rgb="FF231F20"/>
        <rFont val="Arial"/>
        <family val="34"/>
      </rPr>
      <t>Same as Code 3366 except 42" diameter.</t>
    </r>
  </si>
  <si>
    <r>
      <rPr>
        <sz val="8"/>
        <color rgb="FF231F20"/>
        <rFont val="Arial"/>
        <family val="34"/>
      </rPr>
      <t>RCP 54" (FURNISH AND INSTALL)</t>
    </r>
  </si>
  <si>
    <r>
      <rPr>
        <sz val="8"/>
        <color rgb="FF231F20"/>
        <rFont val="Arial"/>
        <family val="34"/>
      </rPr>
      <t>Same as Code 3366 except 54" diameter</t>
    </r>
  </si>
  <si>
    <t>RCP 60" (FURNISH AND INSTALL)
Same as Code 3366 except 60" diameter</t>
  </si>
  <si>
    <r>
      <rPr>
        <sz val="8"/>
        <color rgb="FF231F20"/>
        <rFont val="Arial"/>
        <family val="34"/>
      </rPr>
      <t>RCP 72" (FURNISH AND INSTALL) Same as Code 3366 except 72" diameter</t>
    </r>
  </si>
  <si>
    <r>
      <rPr>
        <sz val="8"/>
        <color rgb="FF231F20"/>
        <rFont val="Arial"/>
        <family val="34"/>
      </rPr>
      <t>RCP 84" (FURNISH AND INSTALL)</t>
    </r>
  </si>
  <si>
    <r>
      <rPr>
        <sz val="8"/>
        <color rgb="FF231F20"/>
        <rFont val="Arial"/>
        <family val="34"/>
      </rPr>
      <t>$ 210.00</t>
    </r>
  </si>
  <si>
    <r>
      <rPr>
        <sz val="8"/>
        <color rgb="FF231F20"/>
        <rFont val="Arial"/>
        <family val="34"/>
      </rPr>
      <t>Same as Code 3366 except 84" diameter</t>
    </r>
  </si>
  <si>
    <r>
      <rPr>
        <sz val="8"/>
        <color rgb="FF231F20"/>
        <rFont val="Arial"/>
        <family val="34"/>
      </rPr>
      <t>RCP 96" (FURNISH AND INSTALL)</t>
    </r>
  </si>
  <si>
    <r>
      <rPr>
        <sz val="8"/>
        <color rgb="FF231F20"/>
        <rFont val="Arial"/>
        <family val="34"/>
      </rPr>
      <t>$ 272.00</t>
    </r>
  </si>
  <si>
    <r>
      <rPr>
        <sz val="8"/>
        <color rgb="FF231F20"/>
        <rFont val="Arial"/>
        <family val="34"/>
      </rPr>
      <t>Same as Code 3376 except 96" diameter</t>
    </r>
  </si>
  <si>
    <r>
      <rPr>
        <sz val="8"/>
        <color rgb="FF231F20"/>
        <rFont val="Arial"/>
        <family val="34"/>
      </rPr>
      <t>RCP 108" (FURNISH AND INSTALL)</t>
    </r>
  </si>
  <si>
    <r>
      <rPr>
        <sz val="8"/>
        <color rgb="FF231F20"/>
        <rFont val="Arial"/>
        <family val="34"/>
      </rPr>
      <t>$ 354.00</t>
    </r>
  </si>
  <si>
    <r>
      <rPr>
        <sz val="8"/>
        <color rgb="FF231F20"/>
        <rFont val="Arial"/>
        <family val="34"/>
      </rPr>
      <t>Same as Code 3366 except 108" diameter</t>
    </r>
  </si>
  <si>
    <r>
      <rPr>
        <sz val="8"/>
        <color rgb="FF231F20"/>
        <rFont val="Arial"/>
        <family val="34"/>
      </rPr>
      <t>RCP 12" END SECTIONS</t>
    </r>
  </si>
  <si>
    <r>
      <rPr>
        <sz val="8"/>
        <color rgb="FF231F20"/>
        <rFont val="Arial"/>
        <family val="34"/>
      </rPr>
      <t>(Usually flared) Used on ends where pipe terminates on slope, includes joint sealer.</t>
    </r>
  </si>
  <si>
    <r>
      <rPr>
        <sz val="8"/>
        <color rgb="FF231F20"/>
        <rFont val="Arial"/>
        <family val="34"/>
      </rPr>
      <t>RCP 15" END SECTIONS</t>
    </r>
  </si>
  <si>
    <r>
      <rPr>
        <sz val="8"/>
        <color rgb="FF231F20"/>
        <rFont val="Arial"/>
        <family val="34"/>
      </rPr>
      <t>$ 170.00</t>
    </r>
  </si>
  <si>
    <r>
      <rPr>
        <sz val="8"/>
        <color rgb="FF231F20"/>
        <rFont val="Arial"/>
        <family val="34"/>
      </rPr>
      <t>Same as Code 3380</t>
    </r>
  </si>
  <si>
    <r>
      <rPr>
        <sz val="8"/>
        <color rgb="FF231F20"/>
        <rFont val="Arial"/>
        <family val="34"/>
      </rPr>
      <t>RCP 18" END SECTIONS</t>
    </r>
  </si>
  <si>
    <r>
      <rPr>
        <sz val="8"/>
        <color rgb="FF231F20"/>
        <rFont val="Arial"/>
        <family val="34"/>
      </rPr>
      <t>$ 180.00</t>
    </r>
  </si>
  <si>
    <r>
      <rPr>
        <sz val="8"/>
        <color rgb="FF231F20"/>
        <rFont val="Arial"/>
        <family val="34"/>
      </rPr>
      <t>RCP 24" END SECTIONS</t>
    </r>
  </si>
  <si>
    <r>
      <rPr>
        <sz val="8"/>
        <color rgb="FF231F20"/>
        <rFont val="Arial"/>
        <family val="34"/>
      </rPr>
      <t>RCP 30" END SECTIONS</t>
    </r>
  </si>
  <si>
    <r>
      <rPr>
        <sz val="8"/>
        <color rgb="FF231F20"/>
        <rFont val="Arial"/>
        <family val="34"/>
      </rPr>
      <t>$ 250.00</t>
    </r>
  </si>
  <si>
    <r>
      <rPr>
        <sz val="8"/>
        <color rgb="FF231F20"/>
        <rFont val="Arial"/>
        <family val="34"/>
      </rPr>
      <t>RCP 36" END SECTION</t>
    </r>
  </si>
  <si>
    <r>
      <rPr>
        <sz val="8"/>
        <color rgb="FF231F20"/>
        <rFont val="Arial"/>
        <family val="34"/>
      </rPr>
      <t>$ 510.00</t>
    </r>
  </si>
  <si>
    <r>
      <rPr>
        <sz val="8"/>
        <color rgb="FF231F20"/>
        <rFont val="Arial"/>
        <family val="34"/>
      </rPr>
      <t>RCP 48" END SECTIONS</t>
    </r>
  </si>
  <si>
    <r>
      <rPr>
        <sz val="8"/>
        <color rgb="FF231F20"/>
        <rFont val="Arial"/>
        <family val="34"/>
      </rPr>
      <t>$ 850.00</t>
    </r>
  </si>
  <si>
    <r>
      <rPr>
        <sz val="8"/>
        <color rgb="FF231F20"/>
        <rFont val="Arial"/>
        <family val="34"/>
      </rPr>
      <t>RCP 60" END SECTIONS</t>
    </r>
  </si>
  <si>
    <r>
      <rPr>
        <sz val="8"/>
        <color rgb="FF231F20"/>
        <rFont val="Arial"/>
        <family val="34"/>
      </rPr>
      <t>$ 1,500.00</t>
    </r>
  </si>
  <si>
    <r>
      <rPr>
        <sz val="8"/>
        <color rgb="FF231F20"/>
        <rFont val="Arial"/>
        <family val="34"/>
      </rPr>
      <t>TOPSOIL AND SEEDING (HYDRO)</t>
    </r>
  </si>
  <si>
    <r>
      <rPr>
        <sz val="8"/>
        <color rgb="FF231F20"/>
        <rFont val="Arial"/>
        <family val="34"/>
      </rPr>
      <t>The process of applying mulch and seed to slopes with an asphaltic binding agent in a spray. Measured by the surface area of the slope.</t>
    </r>
  </si>
  <si>
    <r>
      <rPr>
        <sz val="8"/>
        <color rgb="FF231F20"/>
        <rFont val="Arial"/>
        <family val="34"/>
      </rPr>
      <t>SIGNING PERMANENT (W /GALVANIZED POSTS)</t>
    </r>
  </si>
  <si>
    <r>
      <rPr>
        <sz val="8"/>
        <color rgb="FF231F20"/>
        <rFont val="Arial"/>
        <family val="34"/>
      </rPr>
      <t>$ 13.25</t>
    </r>
  </si>
  <si>
    <r>
      <rPr>
        <sz val="8"/>
        <color rgb="FF231F20"/>
        <rFont val="Arial"/>
        <family val="34"/>
      </rPr>
      <t>Measured by surface area of sign (in place)</t>
    </r>
  </si>
  <si>
    <r>
      <rPr>
        <sz val="8"/>
        <color rgb="FF231F20"/>
        <rFont val="Arial"/>
        <family val="34"/>
      </rPr>
      <t>GUARD RAIL STEEL PLATE BEAM</t>
    </r>
  </si>
  <si>
    <r>
      <rPr>
        <sz val="8"/>
        <color rgb="FF231F20"/>
        <rFont val="Arial"/>
        <family val="34"/>
      </rPr>
      <t>Steel guard rail in place including 6" x 6" treated wood posts.</t>
    </r>
  </si>
  <si>
    <r>
      <rPr>
        <sz val="8"/>
        <color rgb="FF231F20"/>
        <rFont val="Arial"/>
        <family val="34"/>
      </rPr>
      <t>GUARD RAIL STEEL PLATE BEAM REMOVAL</t>
    </r>
  </si>
  <si>
    <r>
      <rPr>
        <sz val="8"/>
        <color rgb="FF231F20"/>
        <rFont val="Arial"/>
        <family val="34"/>
      </rPr>
      <t>Disassemble and remove guard rail and wood treated posts (check salvage)</t>
    </r>
  </si>
  <si>
    <r>
      <rPr>
        <sz val="8"/>
        <color rgb="FF231F20"/>
        <rFont val="Arial"/>
        <family val="34"/>
      </rPr>
      <t>ENGINEERING AND DESIGN SERVICES</t>
    </r>
  </si>
  <si>
    <r>
      <rPr>
        <sz val="8"/>
        <color rgb="FF231F20"/>
        <rFont val="Arial"/>
        <family val="34"/>
      </rPr>
      <t>To be used only in complex projects or law requires registered engineer.</t>
    </r>
  </si>
  <si>
    <r>
      <rPr>
        <sz val="8"/>
        <color rgb="FF231F20"/>
        <rFont val="Arial"/>
        <family val="34"/>
      </rPr>
      <t>BRIDGE DECK SUPPORT TEMPORARY</t>
    </r>
  </si>
  <si>
    <r>
      <rPr>
        <sz val="8"/>
        <color rgb="FF231F20"/>
        <rFont val="Arial"/>
        <family val="34"/>
      </rPr>
      <t>Bridge deck support temporary.</t>
    </r>
  </si>
  <si>
    <r>
      <rPr>
        <sz val="8"/>
        <color rgb="FF231F20"/>
        <rFont val="Arial"/>
        <family val="34"/>
      </rPr>
      <t>DEDUCT SALVAGE</t>
    </r>
  </si>
  <si>
    <r>
      <rPr>
        <sz val="8"/>
        <color rgb="FF231F20"/>
        <rFont val="Arial"/>
        <family val="34"/>
      </rPr>
      <t>Use when there is substantial material value over $500.</t>
    </r>
  </si>
  <si>
    <r>
      <rPr>
        <sz val="8"/>
        <color rgb="FF231F20"/>
        <rFont val="Arial"/>
        <family val="34"/>
      </rPr>
      <t>AC</t>
    </r>
  </si>
  <si>
    <r>
      <rPr>
        <sz val="8"/>
        <color rgb="FF231F20"/>
        <rFont val="Arial"/>
        <family val="34"/>
      </rPr>
      <t>LEVEE GRADING SEEDING AND FERTILIZING</t>
    </r>
  </si>
  <si>
    <r>
      <rPr>
        <sz val="8"/>
        <color rgb="FF231F20"/>
        <rFont val="Arial"/>
        <family val="34"/>
      </rPr>
      <t>$ 500.00</t>
    </r>
  </si>
  <si>
    <r>
      <rPr>
        <sz val="8"/>
        <color rgb="FF231F20"/>
        <rFont val="Arial"/>
        <family val="34"/>
      </rPr>
      <t>Restore levee by grading, reseeding and fertilizing. Calculate acreage from top of levee to bottom of slope, but not over 150 feet. Native grass seeding and one fertilizer application are included.</t>
    </r>
  </si>
  <si>
    <r>
      <rPr>
        <sz val="8"/>
        <color rgb="FF231F20"/>
        <rFont val="Arial"/>
        <family val="34"/>
      </rPr>
      <t>SLOPE GRADING</t>
    </r>
  </si>
  <si>
    <r>
      <rPr>
        <sz val="8"/>
        <color rgb="FF231F20"/>
        <rFont val="Arial"/>
        <family val="34"/>
      </rPr>
      <t>$ 0.35</t>
    </r>
  </si>
  <si>
    <r>
      <rPr>
        <sz val="8"/>
        <color rgb="FF231F20"/>
        <rFont val="Arial"/>
        <family val="34"/>
      </rPr>
      <t>Restore levee by grading only. Calculate area in square yards, limited by area covered in Code 4010.</t>
    </r>
  </si>
  <si>
    <r>
      <rPr>
        <sz val="8"/>
        <color rgb="FF231F20"/>
        <rFont val="Arial"/>
        <family val="34"/>
      </rPr>
      <t>Same as Code 3020.</t>
    </r>
  </si>
  <si>
    <r>
      <rPr>
        <sz val="8"/>
        <color rgb="FF231F20"/>
        <rFont val="Arial"/>
        <family val="34"/>
      </rPr>
      <t>EXCAVATION</t>
    </r>
  </si>
  <si>
    <r>
      <rPr>
        <sz val="8"/>
        <color rgb="FF231F20"/>
        <rFont val="Arial"/>
        <family val="34"/>
      </rPr>
      <t>$ 16.63</t>
    </r>
  </si>
  <si>
    <r>
      <rPr>
        <sz val="8"/>
        <color rgb="FF231F20"/>
        <rFont val="Arial"/>
        <family val="34"/>
      </rPr>
      <t>Excavation</t>
    </r>
  </si>
  <si>
    <t>FILL (COMPACTED CLAY)
Widely used in levee work. Clay is resistant to water seepage. Select material and optimum compaction.</t>
  </si>
  <si>
    <r>
      <rPr>
        <sz val="8"/>
        <color rgb="FF231F20"/>
        <rFont val="Arial"/>
        <family val="34"/>
      </rPr>
      <t>$ 14.00</t>
    </r>
  </si>
  <si>
    <r>
      <rPr>
        <sz val="8"/>
        <color rgb="FF231F20"/>
        <rFont val="Arial"/>
        <family val="34"/>
      </rPr>
      <t xml:space="preserve">FILL (GRANULAR)
</t>
    </r>
    <r>
      <rPr>
        <sz val="8"/>
        <color rgb="FF231F20"/>
        <rFont val="Arial"/>
        <family val="34"/>
      </rPr>
      <t>Seldom used in levee work but may be used in dams to provide a</t>
    </r>
  </si>
  <si>
    <r>
      <rPr>
        <sz val="8"/>
        <color rgb="FF231F20"/>
        <rFont val="Arial"/>
        <family val="34"/>
      </rPr>
      <t>$ 14.30</t>
    </r>
  </si>
  <si>
    <r>
      <rPr>
        <sz val="8"/>
        <color rgb="FF231F20"/>
        <rFont val="Arial"/>
        <family val="34"/>
      </rPr>
      <t>controlled outlet for water seepage. Also see Codes 3040 and 3320 for</t>
    </r>
  </si>
  <si>
    <r>
      <rPr>
        <sz val="8"/>
        <color rgb="FF231F20"/>
        <rFont val="Arial"/>
        <family val="34"/>
      </rPr>
      <t>similar material.</t>
    </r>
  </si>
  <si>
    <r>
      <rPr>
        <sz val="8"/>
        <color rgb="FF231F20"/>
        <rFont val="Arial"/>
        <family val="34"/>
      </rPr>
      <t>CONCRETE REMOVAL REINFORCED</t>
    </r>
  </si>
  <si>
    <r>
      <rPr>
        <sz val="8"/>
        <color rgb="FF231F20"/>
        <rFont val="Arial"/>
        <family val="34"/>
      </rPr>
      <t>Breaking up and hauling off reinforced concrete from drainage structures,</t>
    </r>
  </si>
  <si>
    <r>
      <rPr>
        <sz val="8"/>
        <color rgb="FF231F20"/>
        <rFont val="Arial"/>
        <family val="34"/>
      </rPr>
      <t>equipment buildings, etc. (See Code 3271) Figure in cubic yards.</t>
    </r>
  </si>
  <si>
    <r>
      <rPr>
        <sz val="8"/>
        <color rgb="FF231F20"/>
        <rFont val="Arial"/>
        <family val="34"/>
      </rPr>
      <t>CONCRETE (CLASS X) REINFORCED</t>
    </r>
  </si>
  <si>
    <r>
      <rPr>
        <sz val="8"/>
        <color rgb="FF231F20"/>
        <rFont val="Arial"/>
        <family val="34"/>
      </rPr>
      <t>See Code 3210. Low strength, in-place,</t>
    </r>
  </si>
  <si>
    <r>
      <rPr>
        <sz val="8"/>
        <color rgb="FF231F20"/>
        <rFont val="Arial"/>
        <family val="34"/>
      </rPr>
      <t>RIP RAP (DUMPED)</t>
    </r>
  </si>
  <si>
    <r>
      <rPr>
        <sz val="8"/>
        <color rgb="FF231F20"/>
        <rFont val="Arial"/>
        <family val="34"/>
      </rPr>
      <t>Slope protection provided by rocks (4" - 12") dumped slowly at top of</t>
    </r>
  </si>
  <si>
    <r>
      <rPr>
        <sz val="8"/>
        <color rgb="FF231F20"/>
        <rFont val="Arial"/>
        <family val="34"/>
      </rPr>
      <t>slope. May involve some hand placing. See Code 3251 measured by</t>
    </r>
  </si>
  <si>
    <r>
      <rPr>
        <sz val="8"/>
        <color rgb="FF231F20"/>
        <rFont val="Arial"/>
        <family val="34"/>
      </rPr>
      <t>square yards</t>
    </r>
  </si>
  <si>
    <r>
      <rPr>
        <sz val="8"/>
        <color rgb="FF231F20"/>
        <rFont val="Arial"/>
        <family val="34"/>
      </rPr>
      <t>RIP RAP (GROUTED)</t>
    </r>
  </si>
  <si>
    <r>
      <rPr>
        <sz val="8"/>
        <color rgb="FF231F20"/>
        <rFont val="Arial"/>
        <family val="34"/>
      </rPr>
      <t>Slope protection using rocks (4" - 12") placed and mortared.</t>
    </r>
  </si>
  <si>
    <r>
      <rPr>
        <sz val="8"/>
        <color rgb="FF231F20"/>
        <rFont val="Arial"/>
        <family val="34"/>
      </rPr>
      <t>SLOPE PROTECTION (PLACED)</t>
    </r>
  </si>
  <si>
    <r>
      <rPr>
        <sz val="8"/>
        <color rgb="FF231F20"/>
        <rFont val="Arial"/>
        <family val="34"/>
      </rPr>
      <t>$ 41.87</t>
    </r>
  </si>
  <si>
    <r>
      <rPr>
        <sz val="8"/>
        <color rgb="FF231F20"/>
        <rFont val="Arial"/>
        <family val="34"/>
      </rPr>
      <t>Rocks dumped and then hand placed to provide uniform coverage. (See</t>
    </r>
  </si>
  <si>
    <r>
      <rPr>
        <sz val="8"/>
        <color rgb="FF231F20"/>
        <rFont val="Arial"/>
        <family val="34"/>
      </rPr>
      <t>Code 3250)</t>
    </r>
  </si>
  <si>
    <r>
      <rPr>
        <sz val="8"/>
        <color rgb="FF231F20"/>
        <rFont val="Arial"/>
        <family val="34"/>
      </rPr>
      <t>CONCRETE CHANNEL LINING (REINFORCED)</t>
    </r>
  </si>
  <si>
    <r>
      <rPr>
        <sz val="8"/>
        <color rgb="FF231F20"/>
        <rFont val="Arial"/>
        <family val="34"/>
      </rPr>
      <t>Lining for drainage ditches, usually in city areas. May be poured in place</t>
    </r>
  </si>
  <si>
    <r>
      <rPr>
        <sz val="8"/>
        <color rgb="FF231F20"/>
        <rFont val="Arial"/>
        <family val="34"/>
      </rPr>
      <t>with mesh reinforcement or precast and grouted in place. Usually 4" thick.</t>
    </r>
  </si>
  <si>
    <r>
      <rPr>
        <sz val="8"/>
        <color rgb="FF231F20"/>
        <rFont val="Arial"/>
        <family val="34"/>
      </rPr>
      <t>ROCK AND W IRE BASKETS (GABIONS)</t>
    </r>
  </si>
  <si>
    <r>
      <rPr>
        <sz val="8"/>
        <color rgb="FF231F20"/>
        <rFont val="Arial"/>
        <family val="34"/>
      </rPr>
      <t>$ 120.00</t>
    </r>
  </si>
  <si>
    <r>
      <rPr>
        <sz val="8"/>
        <color rgb="FF231F20"/>
        <rFont val="Arial"/>
        <family val="34"/>
      </rPr>
      <t>Wire mesh baskets filled wilh rocks. Usually 2ft x 4ft x 2ft. Provides steep</t>
    </r>
  </si>
  <si>
    <r>
      <rPr>
        <sz val="8"/>
        <color rgb="FF231F20"/>
        <rFont val="Arial"/>
        <family val="34"/>
      </rPr>
      <t>slope protection against washout. Gabions may also be much larger, being</t>
    </r>
  </si>
  <si>
    <r>
      <rPr>
        <sz val="8"/>
        <color rgb="FF231F20"/>
        <rFont val="Arial"/>
        <family val="34"/>
      </rPr>
      <t>filled in place with large rocks.</t>
    </r>
  </si>
  <si>
    <r>
      <rPr>
        <sz val="8"/>
        <color rgb="FF231F20"/>
        <rFont val="Arial"/>
        <family val="34"/>
      </rPr>
      <t>GABION BASKET REMOVAL</t>
    </r>
  </si>
  <si>
    <r>
      <rPr>
        <sz val="8"/>
        <color rgb="FF231F20"/>
        <rFont val="Arial"/>
        <family val="34"/>
      </rPr>
      <t>Cost of removing gabions to permit restoration of previous contour.</t>
    </r>
  </si>
  <si>
    <r>
      <rPr>
        <sz val="8"/>
        <color rgb="FF231F20"/>
        <rFont val="Arial"/>
        <family val="34"/>
      </rPr>
      <t>FILTER BLANKET (PEA GRAVEL)</t>
    </r>
  </si>
  <si>
    <r>
      <rPr>
        <sz val="8"/>
        <color rgb="FF231F20"/>
        <rFont val="Arial"/>
        <family val="34"/>
      </rPr>
      <t>$ 12.00</t>
    </r>
  </si>
  <si>
    <r>
      <rPr>
        <sz val="8"/>
        <color rgb="FF231F20"/>
        <rFont val="Arial"/>
        <family val="34"/>
      </rPr>
      <t>Used for bank stabilization on levees or drainage channels. Usually 6" -</t>
    </r>
  </si>
  <si>
    <r>
      <rPr>
        <sz val="8"/>
        <color rgb="FF231F20"/>
        <rFont val="Arial"/>
        <family val="34"/>
      </rPr>
      <t>12" thick to provide drainage of water without losing soil.</t>
    </r>
  </si>
  <si>
    <r>
      <rPr>
        <sz val="8"/>
        <color rgb="FF231F20"/>
        <rFont val="Arial"/>
        <family val="34"/>
      </rPr>
      <t>RIP RAP REPAIR OF FABRIC FILTER</t>
    </r>
  </si>
  <si>
    <r>
      <rPr>
        <sz val="8"/>
        <color rgb="FF231F20"/>
        <rFont val="Arial"/>
        <family val="34"/>
      </rPr>
      <t>$ 35.00</t>
    </r>
  </si>
  <si>
    <r>
      <rPr>
        <sz val="8"/>
        <color rgb="FF231F20"/>
        <rFont val="Arial"/>
        <family val="34"/>
      </rPr>
      <t>When fabric filter breaks allowing levee material to come through, rip rap</t>
    </r>
  </si>
  <si>
    <r>
      <rPr>
        <sz val="8"/>
        <color rgb="FF231F20"/>
        <rFont val="Arial"/>
        <family val="34"/>
      </rPr>
      <t>must be removed to permit repair of fabric filter. Then rip rap must be</t>
    </r>
  </si>
  <si>
    <r>
      <rPr>
        <sz val="8"/>
        <color rgb="FF231F20"/>
        <rFont val="Arial"/>
        <family val="34"/>
      </rPr>
      <t>replaced.</t>
    </r>
  </si>
  <si>
    <r>
      <rPr>
        <sz val="8"/>
        <color rgb="FF231F20"/>
        <rFont val="Arial"/>
        <family val="34"/>
      </rPr>
      <t>RIP RAP FABRIC FOR UNDER</t>
    </r>
  </si>
  <si>
    <r>
      <rPr>
        <sz val="8"/>
        <color rgb="FF231F20"/>
        <rFont val="Arial"/>
        <family val="34"/>
      </rPr>
      <t>$ 2.65</t>
    </r>
  </si>
  <si>
    <r>
      <rPr>
        <sz val="8"/>
        <color rgb="FF231F20"/>
        <rFont val="Arial"/>
        <family val="34"/>
      </rPr>
      <t>Fabric filter material for use under rip rap to provide soil stabillization.</t>
    </r>
  </si>
  <si>
    <r>
      <rPr>
        <sz val="8"/>
        <color rgb="FF231F20"/>
        <rFont val="Arial"/>
        <family val="34"/>
      </rPr>
      <t>AGGREGATE SURFACE MATERIAL</t>
    </r>
  </si>
  <si>
    <r>
      <rPr>
        <sz val="8"/>
        <color rgb="FF231F20"/>
        <rFont val="Arial"/>
        <family val="34"/>
      </rPr>
      <t>Gravel or other similar material, usually used as a road surface on top of</t>
    </r>
  </si>
  <si>
    <r>
      <rPr>
        <sz val="8"/>
        <color rgb="FF231F20"/>
        <rFont val="Arial"/>
        <family val="34"/>
      </rPr>
      <t>levee or embankment (See Code 3010). Calculate in tons.</t>
    </r>
  </si>
  <si>
    <r>
      <rPr>
        <sz val="8"/>
        <color rgb="FF231F20"/>
        <rFont val="Arial"/>
        <family val="34"/>
      </rPr>
      <t>Same as Code 4140 except measured in cubic yards.</t>
    </r>
  </si>
  <si>
    <r>
      <rPr>
        <sz val="8"/>
        <color rgb="FF231F20"/>
        <rFont val="Arial"/>
        <family val="34"/>
      </rPr>
      <t>AUGERING (DRAIN TILE)</t>
    </r>
  </si>
  <si>
    <r>
      <rPr>
        <sz val="8"/>
        <color rgb="FF231F20"/>
        <rFont val="Arial"/>
        <family val="34"/>
      </rPr>
      <t>Drain tile may become clogged with roots and silt. Clean out by auguring</t>
    </r>
  </si>
  <si>
    <r>
      <rPr>
        <sz val="8"/>
        <color rgb="FF231F20"/>
        <rFont val="Arial"/>
        <family val="34"/>
      </rPr>
      <t>out the clogging material.</t>
    </r>
  </si>
  <si>
    <r>
      <rPr>
        <sz val="8"/>
        <color rgb="FF231F20"/>
        <rFont val="Arial"/>
        <family val="34"/>
      </rPr>
      <t>DEBRIS - INTERIOR REMOVAL AND W ALL &amp; FLOOR CLEANING</t>
    </r>
  </si>
  <si>
    <r>
      <rPr>
        <sz val="8"/>
        <color rgb="FF231F20"/>
        <rFont val="Arial"/>
        <family val="34"/>
      </rPr>
      <t>$ 0.40</t>
    </r>
  </si>
  <si>
    <r>
      <rPr>
        <sz val="8"/>
        <color rgb="FF231F20"/>
        <rFont val="Arial"/>
        <family val="34"/>
      </rPr>
      <t>Remove mud. water, silt, etc. from the building interior, then clean the walls</t>
    </r>
  </si>
  <si>
    <r>
      <rPr>
        <sz val="8"/>
        <color rgb="FF231F20"/>
        <rFont val="Arial"/>
        <family val="34"/>
      </rPr>
      <t>and floor, but does not include replacement.</t>
    </r>
  </si>
  <si>
    <r>
      <rPr>
        <sz val="8"/>
        <color rgb="FF231F20"/>
        <rFont val="Arial"/>
        <family val="34"/>
      </rPr>
      <t>FLOOR TILE REMOVAL</t>
    </r>
  </si>
  <si>
    <r>
      <rPr>
        <sz val="8"/>
        <color rgb="FF231F20"/>
        <rFont val="Arial"/>
        <family val="34"/>
      </rPr>
      <t>$ 0.50</t>
    </r>
  </si>
  <si>
    <r>
      <rPr>
        <sz val="8"/>
        <color rgb="FF231F20"/>
        <rFont val="Arial"/>
        <family val="34"/>
      </rPr>
      <t>Taking up vinyl, asphalt, or similar tiles, usually 12" x 12".</t>
    </r>
  </si>
  <si>
    <r>
      <rPr>
        <sz val="8"/>
        <color rgb="FF231F20"/>
        <rFont val="Arial"/>
        <family val="34"/>
      </rPr>
      <t>CARPET REMOVAL</t>
    </r>
  </si>
  <si>
    <r>
      <rPr>
        <sz val="8"/>
        <color rgb="FF231F20"/>
        <rFont val="Arial"/>
        <family val="34"/>
      </rPr>
      <t>Remove carpet, either to be cleaned or replaced.</t>
    </r>
  </si>
  <si>
    <r>
      <rPr>
        <sz val="8"/>
        <color rgb="FF231F20"/>
        <rFont val="Arial"/>
        <family val="34"/>
      </rPr>
      <t>MASONRY W ALL (8") REMOVAL</t>
    </r>
  </si>
  <si>
    <r>
      <rPr>
        <sz val="8"/>
        <color rgb="FF231F20"/>
        <rFont val="Arial"/>
        <family val="34"/>
      </rPr>
      <t>Demolition and removal of masonry or concrete block wall. May be fence</t>
    </r>
  </si>
  <si>
    <r>
      <rPr>
        <sz val="8"/>
        <color rgb="FF231F20"/>
        <rFont val="Arial"/>
        <family val="34"/>
      </rPr>
      <t>or wall.</t>
    </r>
  </si>
  <si>
    <t>FLOOR VINYL BASE REMOVE AND REPLACE
After flooding, vinyl base molding must be removed, and new material installed.</t>
  </si>
  <si>
    <r>
      <rPr>
        <sz val="8"/>
        <color rgb="FF231F20"/>
        <rFont val="Arial"/>
        <family val="34"/>
      </rPr>
      <t xml:space="preserve">FLOOR TILE REMOVE AND REPLACE
</t>
    </r>
    <r>
      <rPr>
        <sz val="8"/>
        <color rgb="FF231F20"/>
        <rFont val="Arial"/>
        <family val="34"/>
      </rPr>
      <t>After flooding, floor tile must be removed and new material installed.</t>
    </r>
  </si>
  <si>
    <r>
      <rPr>
        <sz val="8"/>
        <color rgb="FF231F20"/>
        <rFont val="Arial"/>
        <family val="34"/>
      </rPr>
      <t>SQ</t>
    </r>
  </si>
  <si>
    <r>
      <rPr>
        <sz val="8"/>
        <color rgb="FF231F20"/>
        <rFont val="Arial"/>
        <family val="34"/>
      </rPr>
      <t>ROOF BUILT UP REPLACE</t>
    </r>
  </si>
  <si>
    <r>
      <rPr>
        <sz val="8"/>
        <color rgb="FF231F20"/>
        <rFont val="Arial"/>
        <family val="34"/>
      </rPr>
      <t>Replace wood roof deck on flat built up roof.</t>
    </r>
  </si>
  <si>
    <r>
      <rPr>
        <sz val="8"/>
        <color rgb="FF231F20"/>
        <rFont val="Arial"/>
        <family val="34"/>
      </rPr>
      <t>SHINGLES ASPHALT REPLACE</t>
    </r>
  </si>
  <si>
    <r>
      <rPr>
        <sz val="8"/>
        <color rgb="FF231F20"/>
        <rFont val="Arial"/>
        <family val="34"/>
      </rPr>
      <t>$ 100.00</t>
    </r>
  </si>
  <si>
    <r>
      <rPr>
        <sz val="8"/>
        <color rgb="FF231F20"/>
        <rFont val="Arial"/>
        <family val="34"/>
      </rPr>
      <t>Material and labor to remove old shingles and replace with asphalt</t>
    </r>
  </si>
  <si>
    <r>
      <rPr>
        <sz val="8"/>
        <color rgb="FF231F20"/>
        <rFont val="Arial"/>
        <family val="34"/>
      </rPr>
      <t>shingles on a hip roof.</t>
    </r>
  </si>
  <si>
    <r>
      <rPr>
        <sz val="8"/>
        <color rgb="FF231F20"/>
        <rFont val="Arial"/>
        <family val="34"/>
      </rPr>
      <t>FLASHING REPLACEMENT</t>
    </r>
  </si>
  <si>
    <r>
      <rPr>
        <sz val="8"/>
        <color rgb="FF231F20"/>
        <rFont val="Arial"/>
        <family val="34"/>
      </rPr>
      <t>Labor and material to replace sheet metal flashing. Primarily used on hips</t>
    </r>
  </si>
  <si>
    <r>
      <rPr>
        <sz val="8"/>
        <color rgb="FF231F20"/>
        <rFont val="Arial"/>
        <family val="34"/>
      </rPr>
      <t>and valleys of hip roofs and perimeter of built-up roofs.</t>
    </r>
  </si>
  <si>
    <r>
      <rPr>
        <sz val="8"/>
        <color rgb="FF231F20"/>
        <rFont val="Arial"/>
        <family val="34"/>
      </rPr>
      <t>MASONRY SURFACE BRICK SANDBLAST CLEANING</t>
    </r>
  </si>
  <si>
    <r>
      <rPr>
        <sz val="8"/>
        <color rgb="FF231F20"/>
        <rFont val="Arial"/>
        <family val="34"/>
      </rPr>
      <t>$ 1.21</t>
    </r>
  </si>
  <si>
    <r>
      <rPr>
        <sz val="8"/>
        <color rgb="FF231F20"/>
        <rFont val="Arial"/>
        <family val="34"/>
      </rPr>
      <t>Sandblasting brick or concrete block to remove discoloration caused by</t>
    </r>
  </si>
  <si>
    <r>
      <rPr>
        <sz val="8"/>
        <color rgb="FF231F20"/>
        <rFont val="Arial"/>
        <family val="34"/>
      </rPr>
      <t>floodwaters. Labor, equipment and supplies are included.</t>
    </r>
  </si>
  <si>
    <r>
      <rPr>
        <sz val="8"/>
        <color rgb="FF231F20"/>
        <rFont val="Arial"/>
        <family val="34"/>
      </rPr>
      <t>MASONRY SURFACE BRICK STEAM CLEANING</t>
    </r>
  </si>
  <si>
    <r>
      <rPr>
        <sz val="8"/>
        <color rgb="FF231F20"/>
        <rFont val="Arial"/>
        <family val="34"/>
      </rPr>
      <t>$ 0.96</t>
    </r>
  </si>
  <si>
    <r>
      <rPr>
        <sz val="8"/>
        <color rgb="FF231F20"/>
        <rFont val="Arial"/>
        <family val="34"/>
      </rPr>
      <t>Using steam to clean discolored brick or concrete blocks after flooding.</t>
    </r>
  </si>
  <si>
    <r>
      <rPr>
        <sz val="8"/>
        <color rgb="FF231F20"/>
        <rFont val="Arial"/>
        <family val="34"/>
      </rPr>
      <t>CARPET CLEANING</t>
    </r>
  </si>
  <si>
    <r>
      <rPr>
        <sz val="8"/>
        <color rgb="FF231F20"/>
        <rFont val="Arial"/>
        <family val="34"/>
      </rPr>
      <t>Remove and clean carpet after being flooded. Reinstall</t>
    </r>
  </si>
  <si>
    <r>
      <rPr>
        <sz val="8"/>
        <color rgb="FF231F20"/>
        <rFont val="Arial"/>
        <family val="34"/>
      </rPr>
      <t>FURNITURE/METAL - CLEAN, DISINFECT &amp; REPAIR</t>
    </r>
  </si>
  <si>
    <r>
      <rPr>
        <sz val="8"/>
        <color rgb="FF231F20"/>
        <rFont val="Arial"/>
        <family val="34"/>
      </rPr>
      <t>Office furniture that has been in floodwaters. Desks, tables, chairs,</t>
    </r>
  </si>
  <si>
    <r>
      <rPr>
        <sz val="8"/>
        <color rgb="FF231F20"/>
        <rFont val="Arial"/>
        <family val="34"/>
      </rPr>
      <t>cabinets. Labor and materials to thoroughly clean and repair.</t>
    </r>
  </si>
  <si>
    <r>
      <rPr>
        <sz val="8"/>
        <color rgb="FF231F20"/>
        <rFont val="Arial"/>
        <family val="34"/>
      </rPr>
      <t>MOTOR REPAIR ELECTRIC (1/2 HP)</t>
    </r>
  </si>
  <si>
    <r>
      <rPr>
        <sz val="8"/>
        <color rgb="FF231F20"/>
        <rFont val="Arial"/>
        <family val="34"/>
      </rPr>
      <t>$ 145.00</t>
    </r>
  </si>
  <si>
    <r>
      <rPr>
        <sz val="8"/>
        <color rgb="FF231F20"/>
        <rFont val="Arial"/>
        <family val="34"/>
      </rPr>
      <t>Labor and parts to repair a 1/2 HP electric motor that has been flooded.</t>
    </r>
  </si>
  <si>
    <r>
      <rPr>
        <sz val="8"/>
        <color rgb="FF231F20"/>
        <rFont val="Arial"/>
        <family val="34"/>
      </rPr>
      <t>Usually consists of baking to evaporate all water. Includes rewinding and</t>
    </r>
  </si>
  <si>
    <r>
      <rPr>
        <sz val="8"/>
        <color rgb="FF231F20"/>
        <rFont val="Arial"/>
        <family val="34"/>
      </rPr>
      <t xml:space="preserve">replace bearings, if needed and test. Remove and reinstall (See Code
</t>
    </r>
    <r>
      <rPr>
        <sz val="8"/>
        <color rgb="FF231F20"/>
        <rFont val="Arial"/>
        <family val="34"/>
      </rPr>
      <t>6320 also)</t>
    </r>
  </si>
  <si>
    <r>
      <rPr>
        <sz val="8"/>
        <color rgb="FF231F20"/>
        <rFont val="Arial"/>
        <family val="34"/>
      </rPr>
      <t>MOTOR REPAIR ELECTRIC (7 1/2 HP)</t>
    </r>
  </si>
  <si>
    <r>
      <rPr>
        <sz val="8"/>
        <color rgb="FF231F20"/>
        <rFont val="Arial"/>
        <family val="34"/>
      </rPr>
      <t>$ 290.00</t>
    </r>
  </si>
  <si>
    <r>
      <rPr>
        <sz val="8"/>
        <color rgb="FF231F20"/>
        <rFont val="Arial"/>
        <family val="34"/>
      </rPr>
      <t>Same as Code 5140 except 7 1/2 HP. (See Code 6321 also)</t>
    </r>
  </si>
  <si>
    <r>
      <rPr>
        <sz val="8"/>
        <color rgb="FF231F20"/>
        <rFont val="Arial"/>
        <family val="34"/>
      </rPr>
      <t>MOTOR REPAIR ELECTRIC (16 HP)</t>
    </r>
  </si>
  <si>
    <r>
      <rPr>
        <sz val="8"/>
        <color rgb="FF231F20"/>
        <rFont val="Arial"/>
        <family val="34"/>
      </rPr>
      <t>$ 625.00</t>
    </r>
  </si>
  <si>
    <r>
      <rPr>
        <sz val="8"/>
        <color rgb="FF231F20"/>
        <rFont val="Arial"/>
        <family val="34"/>
      </rPr>
      <t>Same as Code 5140 except 16 HP (See Code 6323 also)</t>
    </r>
  </si>
  <si>
    <r>
      <rPr>
        <sz val="8"/>
        <color rgb="FF231F20"/>
        <rFont val="Arial"/>
        <family val="34"/>
      </rPr>
      <t>MOTOR REPAIR ELECTRIC (30 HP)</t>
    </r>
  </si>
  <si>
    <r>
      <rPr>
        <sz val="8"/>
        <color rgb="FF231F20"/>
        <rFont val="Arial"/>
        <family val="34"/>
      </rPr>
      <t>$ 750.00</t>
    </r>
  </si>
  <si>
    <r>
      <rPr>
        <sz val="8"/>
        <color rgb="FF231F20"/>
        <rFont val="Arial"/>
        <family val="34"/>
      </rPr>
      <t>Same as Code 5140 except 30 HP. (See Code 6323 also)</t>
    </r>
  </si>
  <si>
    <r>
      <rPr>
        <sz val="8"/>
        <color rgb="FF231F20"/>
        <rFont val="Arial"/>
        <family val="34"/>
      </rPr>
      <t>MOTOR REPAIR ELECTRIC (60 HP)</t>
    </r>
  </si>
  <si>
    <r>
      <rPr>
        <sz val="8"/>
        <color rgb="FF231F20"/>
        <rFont val="Arial"/>
        <family val="34"/>
      </rPr>
      <t>Same as Code 5140 except 60 HP.</t>
    </r>
  </si>
  <si>
    <r>
      <rPr>
        <sz val="8"/>
        <color rgb="FF231F20"/>
        <rFont val="Arial"/>
        <family val="34"/>
      </rPr>
      <t>FLOOR, W OOD REPAIR (REFINISH)</t>
    </r>
  </si>
  <si>
    <r>
      <rPr>
        <sz val="8"/>
        <color rgb="FF231F20"/>
        <rFont val="Arial"/>
        <family val="34"/>
      </rPr>
      <t>Usually applies to oak or maple floors that have been flooded. Usually</t>
    </r>
  </si>
  <si>
    <r>
      <rPr>
        <sz val="8"/>
        <color rgb="FF231F20"/>
        <rFont val="Arial"/>
        <family val="34"/>
      </rPr>
      <t>includes sanding and varnish, but may include repair of buckling.</t>
    </r>
  </si>
  <si>
    <r>
      <rPr>
        <sz val="8"/>
        <color rgb="FF231F20"/>
        <rFont val="Arial"/>
        <family val="34"/>
      </rPr>
      <t>WINDOW REPLACEMENT</t>
    </r>
  </si>
  <si>
    <r>
      <rPr>
        <sz val="8"/>
        <color rgb="FF231F20"/>
        <rFont val="Arial"/>
        <family val="34"/>
      </rPr>
      <t>Uusually applies to wood windows blown out by high winds or broken by</t>
    </r>
  </si>
  <si>
    <r>
      <rPr>
        <sz val="8"/>
        <color rgb="FF231F20"/>
        <rFont val="Arial"/>
        <family val="34"/>
      </rPr>
      <t>fast floodwaters. Labor and material to remove and install new windows.</t>
    </r>
  </si>
  <si>
    <r>
      <rPr>
        <sz val="8"/>
        <color rgb="FF231F20"/>
        <rFont val="Arial"/>
        <family val="34"/>
      </rPr>
      <t>DOORS (INTERIOR) REPLACEMENT</t>
    </r>
  </si>
  <si>
    <r>
      <rPr>
        <sz val="8"/>
        <color rgb="FF231F20"/>
        <rFont val="Arial"/>
        <family val="34"/>
      </rPr>
      <t>Floodwaters can damage interior doors to point they must be replaced.</t>
    </r>
  </si>
  <si>
    <r>
      <rPr>
        <sz val="8"/>
        <color rgb="FF231F20"/>
        <rFont val="Arial"/>
        <family val="34"/>
      </rPr>
      <t>Usually 2ft 8in x 6ft 8in hollow core with hinges and latch hardware.</t>
    </r>
  </si>
  <si>
    <r>
      <rPr>
        <sz val="8"/>
        <color rgb="FF231F20"/>
        <rFont val="Arial"/>
        <family val="34"/>
      </rPr>
      <t>DOORS (EXTERIOR) REPLACEMENT</t>
    </r>
  </si>
  <si>
    <r>
      <rPr>
        <sz val="8"/>
        <color rgb="FF231F20"/>
        <rFont val="Arial"/>
        <family val="34"/>
      </rPr>
      <t>$ 300.00</t>
    </r>
  </si>
  <si>
    <r>
      <rPr>
        <sz val="8"/>
        <color rgb="FF231F20"/>
        <rFont val="Arial"/>
        <family val="34"/>
      </rPr>
      <t>Same as Code 5170 except usually 3ft 0 in x 7ft 0 in solid core exterior</t>
    </r>
  </si>
  <si>
    <r>
      <rPr>
        <sz val="8"/>
        <color rgb="FF231F20"/>
        <rFont val="Arial"/>
        <family val="34"/>
      </rPr>
      <t>with hinges, latches and locks.</t>
    </r>
  </si>
  <si>
    <r>
      <rPr>
        <sz val="8"/>
        <color rgb="FF231F20"/>
        <rFont val="Arial"/>
        <family val="34"/>
      </rPr>
      <t>DOORS (OVERHEAD) REPLACEMENT</t>
    </r>
  </si>
  <si>
    <r>
      <rPr>
        <sz val="8"/>
        <color rgb="FF231F20"/>
        <rFont val="Arial"/>
        <family val="34"/>
      </rPr>
      <t>This price will cover light industrial overhead doors such as garages.</t>
    </r>
  </si>
  <si>
    <r>
      <rPr>
        <sz val="8"/>
        <color rgb="FF231F20"/>
        <rFont val="Arial"/>
        <family val="34"/>
      </rPr>
      <t>Larger doors should be priced by calling local door installers.</t>
    </r>
  </si>
  <si>
    <t>DRYW ALL REPLACEMENT
When plasterboard has stood in floodwater it must be replaced. Cut off 12" above high water mark and install new drywall. Price includes labor amd material to hang, tape joints and finish but does not include removal of old drywall nor painting of new.</t>
  </si>
  <si>
    <r>
      <rPr>
        <sz val="8"/>
        <color rgb="FF231F20"/>
        <rFont val="Arial"/>
        <family val="34"/>
      </rPr>
      <t>$ 0.80</t>
    </r>
  </si>
  <si>
    <r>
      <rPr>
        <sz val="8"/>
        <color rgb="FF231F20"/>
        <rFont val="Arial"/>
        <family val="34"/>
      </rPr>
      <t xml:space="preserve">PANELLING REPLACEMENT
</t>
    </r>
    <r>
      <rPr>
        <sz val="8"/>
        <color rgb="FF231F20"/>
        <rFont val="Arial"/>
        <family val="34"/>
      </rPr>
      <t>Removal and replacement of wood panelling on walls such as in</t>
    </r>
  </si>
  <si>
    <r>
      <rPr>
        <sz val="8"/>
        <color rgb="FF231F20"/>
        <rFont val="Arial"/>
        <family val="34"/>
      </rPr>
      <t>courtrooms or executive offices to pre-disaster condition. Do not replace</t>
    </r>
  </si>
  <si>
    <r>
      <rPr>
        <sz val="8"/>
        <color rgb="FF231F20"/>
        <rFont val="Arial"/>
        <family val="34"/>
      </rPr>
      <t>with exotic wood panelling.</t>
    </r>
  </si>
  <si>
    <r>
      <rPr>
        <sz val="8"/>
        <color rgb="FF231F20"/>
        <rFont val="Arial"/>
        <family val="34"/>
      </rPr>
      <t>FLOOR GYM REPLACEMENT</t>
    </r>
  </si>
  <si>
    <r>
      <rPr>
        <sz val="8"/>
        <color rgb="FF231F20"/>
        <rFont val="Arial"/>
        <family val="34"/>
      </rPr>
      <t>After flooding, gym floors may buckle and require complete replacement.</t>
    </r>
  </si>
  <si>
    <r>
      <rPr>
        <sz val="8"/>
        <color rgb="FF231F20"/>
        <rFont val="Arial"/>
        <family val="34"/>
      </rPr>
      <t>Find out specificatons of old floor. Special finishes may be required.</t>
    </r>
  </si>
  <si>
    <r>
      <rPr>
        <sz val="8"/>
        <color rgb="FF231F20"/>
        <rFont val="Arial"/>
        <family val="34"/>
      </rPr>
      <t>CARPET REPLACEMENT</t>
    </r>
  </si>
  <si>
    <r>
      <rPr>
        <sz val="8"/>
        <color rgb="FF231F20"/>
        <rFont val="Arial"/>
        <family val="34"/>
      </rPr>
      <t>See also Code 5030 for carpet removal. Replace if carpet cannot be</t>
    </r>
  </si>
  <si>
    <r>
      <rPr>
        <sz val="8"/>
        <color rgb="FF231F20"/>
        <rFont val="Arial"/>
        <family val="34"/>
      </rPr>
      <t>cleaned and reused. Also see Code 5120.</t>
    </r>
  </si>
  <si>
    <r>
      <rPr>
        <sz val="8"/>
        <color rgb="FF231F20"/>
        <rFont val="Arial"/>
        <family val="34"/>
      </rPr>
      <t>FLOOR TILE (VINYL) REPLACEMENT</t>
    </r>
  </si>
  <si>
    <r>
      <rPr>
        <sz val="8"/>
        <color rgb="FF231F20"/>
        <rFont val="Arial"/>
        <family val="34"/>
      </rPr>
      <t>Usually found in housing projects, but may be in various types of public</t>
    </r>
  </si>
  <si>
    <r>
      <rPr>
        <sz val="8"/>
        <color rgb="FF231F20"/>
        <rFont val="Arial"/>
        <family val="34"/>
      </rPr>
      <t>buildings. If old tile cannot be cleaned and reused (see Codes 5020 ad</t>
    </r>
  </si>
  <si>
    <r>
      <rPr>
        <sz val="8"/>
        <color rgb="FF231F20"/>
        <rFont val="Arial"/>
        <family val="34"/>
      </rPr>
      <t>5060) then replace with new vinyl floor tile.</t>
    </r>
  </si>
  <si>
    <r>
      <rPr>
        <sz val="8"/>
        <color rgb="FF231F20"/>
        <rFont val="Arial"/>
        <family val="34"/>
      </rPr>
      <t>MASONRY W ALL (8") REPLACEMENT</t>
    </r>
  </si>
  <si>
    <r>
      <rPr>
        <sz val="8"/>
        <color rgb="FF231F20"/>
        <rFont val="Arial"/>
        <family val="34"/>
      </rPr>
      <t>Brick, rock or concrete block wall 8" thick, not reinforced, seldom more that</t>
    </r>
  </si>
  <si>
    <r>
      <rPr>
        <sz val="8"/>
        <color rgb="FF231F20"/>
        <rFont val="Arial"/>
        <family val="34"/>
      </rPr>
      <t>8 ft high. Probably a retaining wall, or possibly a firewall. Material and labor</t>
    </r>
  </si>
  <si>
    <r>
      <rPr>
        <sz val="8"/>
        <color rgb="FF231F20"/>
        <rFont val="Arial"/>
        <family val="34"/>
      </rPr>
      <t>included.</t>
    </r>
  </si>
  <si>
    <r>
      <rPr>
        <sz val="8"/>
        <color rgb="FF231F20"/>
        <rFont val="Arial"/>
        <family val="34"/>
      </rPr>
      <t>FLOOR CONCRETE (4") REPLACE</t>
    </r>
  </si>
  <si>
    <r>
      <rPr>
        <sz val="8"/>
        <color rgb="FF231F20"/>
        <rFont val="Arial"/>
        <family val="34"/>
      </rPr>
      <t>Concrete floor may be washed out by floodwaters. Labor and material to</t>
    </r>
  </si>
  <si>
    <r>
      <rPr>
        <sz val="8"/>
        <color rgb="FF231F20"/>
        <rFont val="Arial"/>
        <family val="34"/>
      </rPr>
      <t>replace.</t>
    </r>
  </si>
  <si>
    <r>
      <rPr>
        <sz val="8"/>
        <color rgb="FF231F20"/>
        <rFont val="Arial"/>
        <family val="34"/>
      </rPr>
      <t>FLOOR CONCRETE (6") REPLACE</t>
    </r>
  </si>
  <si>
    <r>
      <rPr>
        <sz val="8"/>
        <color rgb="FF231F20"/>
        <rFont val="Arial"/>
        <family val="34"/>
      </rPr>
      <t>Same as Code 5240 except 6" thick.</t>
    </r>
  </si>
  <si>
    <r>
      <rPr>
        <sz val="8"/>
        <color rgb="FF231F20"/>
        <rFont val="Arial"/>
        <family val="34"/>
      </rPr>
      <t>PAINTING INTERIOR</t>
    </r>
  </si>
  <si>
    <r>
      <rPr>
        <sz val="8"/>
        <color rgb="FF231F20"/>
        <rFont val="Arial"/>
        <family val="34"/>
      </rPr>
      <t>$ 0.30</t>
    </r>
  </si>
  <si>
    <r>
      <rPr>
        <sz val="8"/>
        <color rgb="FF231F20"/>
        <rFont val="Arial"/>
        <family val="34"/>
      </rPr>
      <t>Labor and material to apply two coats of paint to interior walls and ceilings.</t>
    </r>
  </si>
  <si>
    <r>
      <rPr>
        <sz val="8"/>
        <color rgb="FF231F20"/>
        <rFont val="Arial"/>
        <family val="34"/>
      </rPr>
      <t>See also Codes 5082 and 5182.</t>
    </r>
  </si>
  <si>
    <r>
      <rPr>
        <sz val="8"/>
        <color rgb="FF231F20"/>
        <rFont val="Arial"/>
        <family val="34"/>
      </rPr>
      <t>PAINTING EXTERIOR</t>
    </r>
  </si>
  <si>
    <r>
      <rPr>
        <sz val="8"/>
        <color rgb="FF231F20"/>
        <rFont val="Arial"/>
        <family val="34"/>
      </rPr>
      <t>Labor and material to apply two coats of exterior grade paint.</t>
    </r>
  </si>
  <si>
    <r>
      <rPr>
        <sz val="8"/>
        <color rgb="FF231F20"/>
        <rFont val="Arial"/>
        <family val="34"/>
      </rPr>
      <t>HOT WATER HEATER REPLACEMENT</t>
    </r>
  </si>
  <si>
    <r>
      <rPr>
        <sz val="8"/>
        <color rgb="FF231F20"/>
        <rFont val="Arial"/>
        <family val="34"/>
      </rPr>
      <t>$ 380.00</t>
    </r>
  </si>
  <si>
    <r>
      <rPr>
        <sz val="8"/>
        <color rgb="FF231F20"/>
        <rFont val="Arial"/>
        <family val="34"/>
      </rPr>
      <t>Hot water heater (30 gal. or less) that must be replaced due to damage</t>
    </r>
  </si>
  <si>
    <r>
      <rPr>
        <sz val="8"/>
        <color rgb="FF231F20"/>
        <rFont val="Arial"/>
        <family val="34"/>
      </rPr>
      <t>from flooding or high winds. Includes removal and installation. Usually</t>
    </r>
  </si>
  <si>
    <r>
      <rPr>
        <sz val="8"/>
        <color rgb="FF231F20"/>
        <rFont val="Arial"/>
        <family val="34"/>
      </rPr>
      <t>applicable to housing projects.</t>
    </r>
  </si>
  <si>
    <r>
      <rPr>
        <sz val="8"/>
        <color rgb="FF231F20"/>
        <rFont val="Arial"/>
        <family val="34"/>
      </rPr>
      <t>TABLES LAMINATED REPLACEMENT</t>
    </r>
  </si>
  <si>
    <r>
      <rPr>
        <sz val="8"/>
        <color rgb="FF231F20"/>
        <rFont val="Arial"/>
        <family val="34"/>
      </rPr>
      <t>This is assumed to be furniture of various types. Contact local sources for</t>
    </r>
  </si>
  <si>
    <r>
      <rPr>
        <sz val="8"/>
        <color rgb="FF231F20"/>
        <rFont val="Arial"/>
        <family val="34"/>
      </rPr>
      <t>specific costs of destroyed furniture.</t>
    </r>
  </si>
  <si>
    <r>
      <rPr>
        <sz val="8"/>
        <color rgb="FF231F20"/>
        <rFont val="Arial"/>
        <family val="34"/>
      </rPr>
      <t>TABLES CONFERENCE REPLACEMENT</t>
    </r>
  </si>
  <si>
    <r>
      <rPr>
        <sz val="8"/>
        <color rgb="FF231F20"/>
        <rFont val="Arial"/>
        <family val="34"/>
      </rPr>
      <t>$ 660.00</t>
    </r>
  </si>
  <si>
    <r>
      <rPr>
        <sz val="8"/>
        <color rgb="FF231F20"/>
        <rFont val="Arial"/>
        <family val="34"/>
      </rPr>
      <t>Replacement of destroyed wood conference table. Often 4 ft wide x 8 ft</t>
    </r>
  </si>
  <si>
    <r>
      <rPr>
        <sz val="8"/>
        <color rgb="FF231F20"/>
        <rFont val="Arial"/>
        <family val="34"/>
      </rPr>
      <t>long. Only found in offices with separate conference rooms. Check prices</t>
    </r>
  </si>
  <si>
    <r>
      <rPr>
        <sz val="8"/>
        <color rgb="FF231F20"/>
        <rFont val="Arial"/>
        <family val="34"/>
      </rPr>
      <t>at local sources.</t>
    </r>
  </si>
  <si>
    <r>
      <rPr>
        <sz val="8"/>
        <color rgb="FF231F20"/>
        <rFont val="Arial"/>
        <family val="34"/>
      </rPr>
      <t>DESK REPLACEMENT</t>
    </r>
  </si>
  <si>
    <r>
      <rPr>
        <sz val="8"/>
        <color rgb="FF231F20"/>
        <rFont val="Arial"/>
        <family val="34"/>
      </rPr>
      <t>$ 410.00</t>
    </r>
  </si>
  <si>
    <r>
      <rPr>
        <sz val="8"/>
        <color rgb="FF231F20"/>
        <rFont val="Arial"/>
        <family val="34"/>
      </rPr>
      <t>Generally covers a steel executive or steno desk but not wood desks.</t>
    </r>
  </si>
  <si>
    <r>
      <rPr>
        <sz val="8"/>
        <color rgb="FF231F20"/>
        <rFont val="Arial"/>
        <family val="34"/>
      </rPr>
      <t>Check local sources.</t>
    </r>
  </si>
  <si>
    <r>
      <rPr>
        <sz val="8"/>
        <color rgb="FF231F20"/>
        <rFont val="Arial"/>
        <family val="34"/>
      </rPr>
      <t>FILING CABINET REPLACEMENT</t>
    </r>
  </si>
  <si>
    <r>
      <rPr>
        <sz val="8"/>
        <color rgb="FF231F20"/>
        <rFont val="Arial"/>
        <family val="34"/>
      </rPr>
      <t>Replace standard four drawer steel filing cabinet. Check local source for</t>
    </r>
  </si>
  <si>
    <r>
      <rPr>
        <sz val="8"/>
        <color rgb="FF231F20"/>
        <rFont val="Arial"/>
        <family val="34"/>
      </rPr>
      <t>smaller sizes.</t>
    </r>
  </si>
  <si>
    <r>
      <rPr>
        <sz val="8"/>
        <color rgb="FF231F20"/>
        <rFont val="Arial"/>
        <family val="34"/>
      </rPr>
      <t>CHAIR REPLACEMENT</t>
    </r>
  </si>
  <si>
    <r>
      <rPr>
        <sz val="8"/>
        <color rgb="FF231F20"/>
        <rFont val="Arial"/>
        <family val="34"/>
      </rPr>
      <t>Use this code only for executive chairs. Other chairs will be much less</t>
    </r>
  </si>
  <si>
    <r>
      <rPr>
        <sz val="8"/>
        <color rgb="FF231F20"/>
        <rFont val="Arial"/>
        <family val="34"/>
      </rPr>
      <t>expensive. Check local sources for costs.</t>
    </r>
  </si>
  <si>
    <r>
      <rPr>
        <sz val="8"/>
        <color rgb="FF231F20"/>
        <rFont val="Arial"/>
        <family val="34"/>
      </rPr>
      <t>REFRIGERATOR REPLACEMENT</t>
    </r>
  </si>
  <si>
    <r>
      <rPr>
        <sz val="8"/>
        <color rgb="FF231F20"/>
        <rFont val="Arial"/>
        <family val="34"/>
      </rPr>
      <t>$ 715.00</t>
    </r>
  </si>
  <si>
    <r>
      <rPr>
        <sz val="8"/>
        <color rgb="FF231F20"/>
        <rFont val="Arial"/>
        <family val="34"/>
      </rPr>
      <t>Replace to similar size to the one damaged beyond repair. This usually will</t>
    </r>
  </si>
  <si>
    <r>
      <rPr>
        <sz val="8"/>
        <color rgb="FF231F20"/>
        <rFont val="Arial"/>
        <family val="34"/>
      </rPr>
      <t>cover up to 12 cubic foot size.</t>
    </r>
  </si>
  <si>
    <r>
      <rPr>
        <sz val="8"/>
        <color rgb="FF231F20"/>
        <rFont val="Arial"/>
        <family val="34"/>
      </rPr>
      <t>FREEZER REPLACEMENT</t>
    </r>
  </si>
  <si>
    <r>
      <rPr>
        <sz val="8"/>
        <color rgb="FF231F20"/>
        <rFont val="Arial"/>
        <family val="34"/>
      </rPr>
      <t>Replace with similar size to the one damaged beyond repair. This usually</t>
    </r>
  </si>
  <si>
    <r>
      <rPr>
        <sz val="8"/>
        <color rgb="FF231F20"/>
        <rFont val="Arial"/>
        <family val="34"/>
      </rPr>
      <t>will cover up to 12 cubic foot size.</t>
    </r>
  </si>
  <si>
    <r>
      <rPr>
        <sz val="8"/>
        <color rgb="FF231F20"/>
        <rFont val="Arial"/>
        <family val="34"/>
      </rPr>
      <t>FURNACE, HEATING; CLEAN AND REPAIR</t>
    </r>
  </si>
  <si>
    <r>
      <rPr>
        <sz val="8"/>
        <color rgb="FF231F20"/>
        <rFont val="Arial"/>
        <family val="34"/>
      </rPr>
      <t>Furnace, heating, clean and repair.</t>
    </r>
  </si>
  <si>
    <t>PORCH, ACCESS; FABRICATE
Porch, access, fabricate</t>
  </si>
  <si>
    <r>
      <rPr>
        <sz val="8"/>
        <color rgb="FF231F20"/>
        <rFont val="Arial"/>
        <family val="34"/>
      </rPr>
      <t>$ 275.00</t>
    </r>
  </si>
  <si>
    <r>
      <rPr>
        <sz val="8"/>
        <color rgb="FF231F20"/>
        <rFont val="Arial"/>
        <family val="34"/>
      </rPr>
      <t>SINK, BATHROOM - REINSTALL Reinstall bathroom sink</t>
    </r>
  </si>
  <si>
    <r>
      <rPr>
        <sz val="8"/>
        <color rgb="FF231F20"/>
        <rFont val="Arial"/>
        <family val="34"/>
      </rPr>
      <t>$ 90.00</t>
    </r>
  </si>
  <si>
    <r>
      <rPr>
        <sz val="8"/>
        <color rgb="FF231F20"/>
        <rFont val="Arial"/>
        <family val="34"/>
      </rPr>
      <t>SKYLIGHT: REPLACE</t>
    </r>
  </si>
  <si>
    <r>
      <rPr>
        <sz val="8"/>
        <color rgb="FF231F20"/>
        <rFont val="Arial"/>
        <family val="34"/>
      </rPr>
      <t>Replace skylight</t>
    </r>
  </si>
  <si>
    <r>
      <rPr>
        <sz val="8"/>
        <color rgb="FF231F20"/>
        <rFont val="Arial"/>
        <family val="34"/>
      </rPr>
      <t>TOILET &amp; TANK; RESET</t>
    </r>
  </si>
  <si>
    <r>
      <rPr>
        <sz val="8"/>
        <color rgb="FF231F20"/>
        <rFont val="Arial"/>
        <family val="34"/>
      </rPr>
      <t>Reset toilet &amp; tank.</t>
    </r>
  </si>
  <si>
    <r>
      <rPr>
        <sz val="8"/>
        <color rgb="FF231F20"/>
        <rFont val="Arial"/>
        <family val="34"/>
      </rPr>
      <t>DEDUCT ACTUAL INSURANCE PROCEEDS</t>
    </r>
  </si>
  <si>
    <r>
      <rPr>
        <sz val="8"/>
        <color rgb="FF231F20"/>
        <rFont val="Arial"/>
        <family val="34"/>
      </rPr>
      <t>If the building is insured against the damage caused by the disaster,</t>
    </r>
  </si>
  <si>
    <r>
      <rPr>
        <sz val="8"/>
        <color rgb="FF231F20"/>
        <rFont val="Arial"/>
        <family val="34"/>
      </rPr>
      <t xml:space="preserve">deduct the insurance proceeds from total damage. Deductible is always
</t>
    </r>
    <r>
      <rPr>
        <sz val="8"/>
        <color rgb="FF231F20"/>
        <rFont val="Arial"/>
        <family val="34"/>
      </rPr>
      <t>eligible.</t>
    </r>
  </si>
  <si>
    <r>
      <rPr>
        <sz val="8"/>
        <color rgb="FF231F20"/>
        <rFont val="Arial"/>
        <family val="34"/>
      </rPr>
      <t>DEDUCT ANTICIPATED INSURANCE PROCEEDS</t>
    </r>
  </si>
  <si>
    <r>
      <rPr>
        <sz val="8"/>
        <color rgb="FF231F20"/>
        <rFont val="Arial"/>
        <family val="34"/>
      </rPr>
      <t>Deduct anticipated insurance proceeds.</t>
    </r>
  </si>
  <si>
    <r>
      <rPr>
        <sz val="8"/>
        <color rgb="FF231F20"/>
        <rFont val="Arial"/>
        <family val="34"/>
      </rPr>
      <t>MANDITORY NFIP REDUCTION - MAXIMUM PROCEEDS AVAILABLE</t>
    </r>
  </si>
  <si>
    <r>
      <rPr>
        <sz val="8"/>
        <color rgb="FF231F20"/>
        <rFont val="Arial"/>
        <family val="34"/>
      </rPr>
      <t>Manditory NFIP reduction.</t>
    </r>
  </si>
  <si>
    <r>
      <rPr>
        <sz val="8"/>
        <color rgb="FF231F20"/>
        <rFont val="Arial"/>
        <family val="34"/>
      </rPr>
      <t>PREVIOUS DISASTER INSURANCE PURCHASE REQUIREMENTS</t>
    </r>
  </si>
  <si>
    <r>
      <rPr>
        <sz val="8"/>
        <color rgb="FF231F20"/>
        <rFont val="Arial"/>
        <family val="34"/>
      </rPr>
      <t>Previous disaster insurance purchase requirements.</t>
    </r>
  </si>
  <si>
    <r>
      <rPr>
        <sz val="8"/>
        <color rgb="FF231F20"/>
        <rFont val="Arial"/>
        <family val="34"/>
      </rPr>
      <t>DEDUCT ACTUAL FLOOD INSURANCE PROCEEDS</t>
    </r>
  </si>
  <si>
    <r>
      <rPr>
        <sz val="8"/>
        <color rgb="FF231F20"/>
        <rFont val="Arial"/>
        <family val="34"/>
      </rPr>
      <t>Deduct actual flood insurance proceeds</t>
    </r>
  </si>
  <si>
    <r>
      <rPr>
        <sz val="8"/>
        <color rgb="FF231F20"/>
        <rFont val="Arial"/>
        <family val="34"/>
      </rPr>
      <t>DEDUCT ANTICIPATED FLOOD INSURANCE PROCEEDS</t>
    </r>
  </si>
  <si>
    <r>
      <rPr>
        <sz val="8"/>
        <color rgb="FF231F20"/>
        <rFont val="Arial"/>
        <family val="34"/>
      </rPr>
      <t>Deduct anticipated flood insurance proceeds</t>
    </r>
  </si>
  <si>
    <r>
      <rPr>
        <sz val="8"/>
        <color rgb="FF231F20"/>
        <rFont val="Arial"/>
        <family val="34"/>
      </rPr>
      <t>NO ANTICIPATED OR ACTUAL INSURANCE PROCEEDS</t>
    </r>
  </si>
  <si>
    <r>
      <rPr>
        <sz val="8"/>
        <color rgb="FF231F20"/>
        <rFont val="Arial"/>
        <family val="34"/>
      </rPr>
      <t>SEW ER CLEANING (UNDER 18")</t>
    </r>
  </si>
  <si>
    <r>
      <rPr>
        <sz val="8"/>
        <color rgb="FF231F20"/>
        <rFont val="Arial"/>
        <family val="34"/>
      </rPr>
      <t>Usually accomplished by means of a high pressure sprayer that is pulled</t>
    </r>
  </si>
  <si>
    <r>
      <rPr>
        <sz val="8"/>
        <color rgb="FF231F20"/>
        <rFont val="Arial"/>
        <family val="34"/>
      </rPr>
      <t xml:space="preserve">through the line from manhole to manhole where the material is vacuumed
</t>
    </r>
    <r>
      <rPr>
        <sz val="8"/>
        <color rgb="FF231F20"/>
        <rFont val="Arial"/>
        <family val="34"/>
      </rPr>
      <t>out. This operation is basically the same for storm sewers and sanitary</t>
    </r>
  </si>
  <si>
    <r>
      <rPr>
        <sz val="8"/>
        <color rgb="FF231F20"/>
        <rFont val="Arial"/>
        <family val="34"/>
      </rPr>
      <t>sewers.</t>
    </r>
  </si>
  <si>
    <r>
      <rPr>
        <sz val="8"/>
        <color rgb="FF231F20"/>
        <rFont val="Arial"/>
        <family val="34"/>
      </rPr>
      <t>SEW ER CLEANING (18" - 36")</t>
    </r>
  </si>
  <si>
    <r>
      <rPr>
        <sz val="8"/>
        <color rgb="FF231F20"/>
        <rFont val="Arial"/>
        <family val="34"/>
      </rPr>
      <t>Same as Code 6010 except larger diameter pipe.</t>
    </r>
  </si>
  <si>
    <r>
      <rPr>
        <sz val="8"/>
        <color rgb="FF231F20"/>
        <rFont val="Arial"/>
        <family val="34"/>
      </rPr>
      <t>SEW ER CLEANING (36"+)</t>
    </r>
  </si>
  <si>
    <r>
      <rPr>
        <sz val="8"/>
        <color rgb="FF231F20"/>
        <rFont val="Arial"/>
        <family val="34"/>
      </rPr>
      <t>$ 9.50</t>
    </r>
  </si>
  <si>
    <r>
      <rPr>
        <sz val="8"/>
        <color rgb="FF231F20"/>
        <rFont val="Arial"/>
        <family val="34"/>
      </rPr>
      <t>T. V. INSPECT</t>
    </r>
  </si>
  <si>
    <r>
      <rPr>
        <sz val="8"/>
        <color rgb="FF231F20"/>
        <rFont val="Arial"/>
        <family val="34"/>
      </rPr>
      <t>A means of inspecting sewer lines that cannot readily be accessible for</t>
    </r>
  </si>
  <si>
    <r>
      <rPr>
        <sz val="8"/>
        <color rgb="FF231F20"/>
        <rFont val="Arial"/>
        <family val="34"/>
      </rPr>
      <t>usual inspection for damage such as cracked or broken walls, leaking or</t>
    </r>
  </si>
  <si>
    <r>
      <rPr>
        <sz val="8"/>
        <color rgb="FF231F20"/>
        <rFont val="Arial"/>
        <family val="34"/>
      </rPr>
      <t>damaged joints or collapsed sections of pipe. This is usually accomplished</t>
    </r>
  </si>
  <si>
    <r>
      <rPr>
        <sz val="8"/>
        <color rgb="FF231F20"/>
        <rFont val="Arial"/>
        <family val="34"/>
      </rPr>
      <t xml:space="preserve">by a remote tv camera that is pulled through the pipe from manhole to
</t>
    </r>
    <r>
      <rPr>
        <sz val="8"/>
        <color rgb="FF231F20"/>
        <rFont val="Arial"/>
        <family val="34"/>
      </rPr>
      <t>manhole.</t>
    </r>
  </si>
  <si>
    <r>
      <rPr>
        <sz val="8"/>
        <color rgb="FF231F20"/>
        <rFont val="Arial"/>
        <family val="34"/>
      </rPr>
      <t>CATCH BASIN CLEANING</t>
    </r>
  </si>
  <si>
    <r>
      <rPr>
        <sz val="8"/>
        <color rgb="FF231F20"/>
        <rFont val="Arial"/>
        <family val="34"/>
      </rPr>
      <t>Catch basins are usually located at the base of the curb in the sidewalk</t>
    </r>
  </si>
  <si>
    <r>
      <rPr>
        <sz val="8"/>
        <color rgb="FF231F20"/>
        <rFont val="Arial"/>
        <family val="34"/>
      </rPr>
      <t xml:space="preserve">and are approximately 2ft x 4ft x 4ft and are connected to the storm drains.
</t>
    </r>
    <r>
      <rPr>
        <sz val="8"/>
        <color rgb="FF231F20"/>
        <rFont val="Arial"/>
        <family val="34"/>
      </rPr>
      <t>During flooding or inundation silts and debris are deposited in them.</t>
    </r>
  </si>
  <si>
    <r>
      <rPr>
        <sz val="8"/>
        <color rgb="FF231F20"/>
        <rFont val="Arial"/>
        <family val="34"/>
      </rPr>
      <t xml:space="preserve">Cleaning is usually accomplished by manual labor or mechanical
</t>
    </r>
    <r>
      <rPr>
        <sz val="8"/>
        <color rgb="FF231F20"/>
        <rFont val="Arial"/>
        <family val="34"/>
      </rPr>
      <t>vacuuming.</t>
    </r>
  </si>
  <si>
    <r>
      <rPr>
        <sz val="8"/>
        <color rgb="FF231F20"/>
        <rFont val="Arial"/>
        <family val="34"/>
      </rPr>
      <t>SEW ER TAP (6")</t>
    </r>
  </si>
  <si>
    <r>
      <rPr>
        <sz val="8"/>
        <color rgb="FF231F20"/>
        <rFont val="Arial"/>
        <family val="34"/>
      </rPr>
      <t>Sewer tap (6")</t>
    </r>
  </si>
  <si>
    <r>
      <rPr>
        <sz val="8"/>
        <color rgb="FF231F20"/>
        <rFont val="Arial"/>
        <family val="34"/>
      </rPr>
      <t>SEW ER TAP (12")</t>
    </r>
  </si>
  <si>
    <r>
      <rPr>
        <sz val="8"/>
        <color rgb="FF231F20"/>
        <rFont val="Arial"/>
        <family val="34"/>
      </rPr>
      <t>$ 320.00</t>
    </r>
  </si>
  <si>
    <r>
      <rPr>
        <sz val="8"/>
        <color rgb="FF231F20"/>
        <rFont val="Arial"/>
        <family val="34"/>
      </rPr>
      <t>Sewer tap (12")</t>
    </r>
  </si>
  <si>
    <r>
      <rPr>
        <sz val="8"/>
        <color rgb="FF231F20"/>
        <rFont val="Arial"/>
        <family val="34"/>
      </rPr>
      <t>SEW ER TAP (18")</t>
    </r>
  </si>
  <si>
    <r>
      <rPr>
        <sz val="8"/>
        <color rgb="FF231F20"/>
        <rFont val="Arial"/>
        <family val="34"/>
      </rPr>
      <t>Sewer tap (18")</t>
    </r>
  </si>
  <si>
    <r>
      <rPr>
        <sz val="8"/>
        <color rgb="FF231F20"/>
        <rFont val="Arial"/>
        <family val="34"/>
      </rPr>
      <t>SEW ER TAP (24")</t>
    </r>
  </si>
  <si>
    <r>
      <rPr>
        <sz val="8"/>
        <color rgb="FF231F20"/>
        <rFont val="Arial"/>
        <family val="34"/>
      </rPr>
      <t>$ 464.00</t>
    </r>
  </si>
  <si>
    <r>
      <rPr>
        <sz val="8"/>
        <color rgb="FF231F20"/>
        <rFont val="Arial"/>
        <family val="34"/>
      </rPr>
      <t>Sewer tap (24")</t>
    </r>
  </si>
  <si>
    <r>
      <rPr>
        <sz val="8"/>
        <color rgb="FF231F20"/>
        <rFont val="Arial"/>
        <family val="34"/>
      </rPr>
      <t>DEW ATERING DEEP W ELL</t>
    </r>
  </si>
  <si>
    <r>
      <rPr>
        <sz val="8"/>
        <color rgb="FF231F20"/>
        <rFont val="Arial"/>
        <family val="34"/>
      </rPr>
      <t>Dewatering deep well</t>
    </r>
  </si>
  <si>
    <r>
      <rPr>
        <sz val="8"/>
        <color rgb="FF231F20"/>
        <rFont val="Arial"/>
        <family val="34"/>
      </rPr>
      <t>DAY</t>
    </r>
  </si>
  <si>
    <t>PUMPING BY-PASS DURING CONSTRUCTION
A 24 hour per day operation while repairs are being made on a sanitary sewer, includes pump, labor and fuel.</t>
  </si>
  <si>
    <r>
      <rPr>
        <sz val="8"/>
        <color rgb="FF231F20"/>
        <rFont val="Arial"/>
        <family val="34"/>
      </rPr>
      <t xml:space="preserve">PILING STEEL SHEET PULL &amp; SALVAGE (15' DEEP 22 PSF)
</t>
    </r>
    <r>
      <rPr>
        <sz val="8"/>
        <color rgb="FF231F20"/>
        <rFont val="Arial"/>
        <family val="34"/>
      </rPr>
      <t>An operation where steel sheet piling are pulled by means of a crane and</t>
    </r>
  </si>
  <si>
    <r>
      <rPr>
        <sz val="8"/>
        <color rgb="FF231F20"/>
        <rFont val="Arial"/>
        <family val="34"/>
      </rPr>
      <t>sheet pile extractor. Includes equipment and labor minus salvage.</t>
    </r>
  </si>
  <si>
    <r>
      <rPr>
        <sz val="8"/>
        <color rgb="FF231F20"/>
        <rFont val="Arial"/>
        <family val="34"/>
      </rPr>
      <t>PILING STEEL SHEET PULL &amp; SALVAGE (20' DEEP 27 PSF)</t>
    </r>
  </si>
  <si>
    <r>
      <rPr>
        <sz val="8"/>
        <color rgb="FF231F20"/>
        <rFont val="Arial"/>
        <family val="34"/>
      </rPr>
      <t>Same as Code 6070 except deeper, requiring more powerful extractor.</t>
    </r>
  </si>
  <si>
    <r>
      <rPr>
        <sz val="8"/>
        <color rgb="FF231F20"/>
        <rFont val="Arial"/>
        <family val="34"/>
      </rPr>
      <t>PILING STEEL SHEET PULL &amp; SALVAGE (25' DEEP 38 PSF)</t>
    </r>
  </si>
  <si>
    <r>
      <rPr>
        <sz val="8"/>
        <color rgb="FF231F20"/>
        <rFont val="Arial"/>
        <family val="34"/>
      </rPr>
      <t>PILING W OOD SHEET LEFT IN PLACE (10' DEEP)</t>
    </r>
  </si>
  <si>
    <r>
      <rPr>
        <sz val="8"/>
        <color rgb="FF231F20"/>
        <rFont val="Arial"/>
        <family val="34"/>
      </rPr>
      <t>$ 4.75</t>
    </r>
  </si>
  <si>
    <r>
      <rPr>
        <sz val="8"/>
        <color rgb="FF231F20"/>
        <rFont val="Arial"/>
        <family val="34"/>
      </rPr>
      <t>W ood sheet piling left in place (10' deep)</t>
    </r>
  </si>
  <si>
    <r>
      <rPr>
        <sz val="8"/>
        <color rgb="FF231F20"/>
        <rFont val="Arial"/>
        <family val="34"/>
      </rPr>
      <t>PILING W OOD SHEET LEFT IN PLACE (16' DEEP)</t>
    </r>
  </si>
  <si>
    <r>
      <rPr>
        <sz val="8"/>
        <color rgb="FF231F20"/>
        <rFont val="Arial"/>
        <family val="34"/>
      </rPr>
      <t>Same as Code 6080 except 16' deep.</t>
    </r>
  </si>
  <si>
    <r>
      <rPr>
        <sz val="8"/>
        <color rgb="FF231F20"/>
        <rFont val="Arial"/>
        <family val="34"/>
      </rPr>
      <t>PILING W OOD SHEET LEFT IN PLACE (20' DEEP)</t>
    </r>
  </si>
  <si>
    <r>
      <rPr>
        <sz val="8"/>
        <color rgb="FF231F20"/>
        <rFont val="Arial"/>
        <family val="34"/>
      </rPr>
      <t>Same as Code 6080 except 20' deep.</t>
    </r>
  </si>
  <si>
    <r>
      <rPr>
        <sz val="8"/>
        <color rgb="FF231F20"/>
        <rFont val="Arial"/>
        <family val="34"/>
      </rPr>
      <t>SEW ER LINE MANHOLE (48")</t>
    </r>
  </si>
  <si>
    <r>
      <rPr>
        <sz val="8"/>
        <color rgb="FF231F20"/>
        <rFont val="Arial"/>
        <family val="34"/>
      </rPr>
      <t>Usually made of precast concrete (in place). Includes concrete base slab,</t>
    </r>
  </si>
  <si>
    <r>
      <rPr>
        <sz val="8"/>
        <color rgb="FF231F20"/>
        <rFont val="Arial"/>
        <family val="34"/>
      </rPr>
      <t>masonry seal, excavation and backfill.</t>
    </r>
  </si>
  <si>
    <r>
      <rPr>
        <sz val="8"/>
        <color rgb="FF231F20"/>
        <rFont val="Arial"/>
        <family val="34"/>
      </rPr>
      <t>SEW ER LINE MANHOLE (54")</t>
    </r>
  </si>
  <si>
    <r>
      <rPr>
        <sz val="8"/>
        <color rgb="FF231F20"/>
        <rFont val="Arial"/>
        <family val="34"/>
      </rPr>
      <t>$ 2,500.00</t>
    </r>
  </si>
  <si>
    <r>
      <rPr>
        <sz val="8"/>
        <color rgb="FF231F20"/>
        <rFont val="Arial"/>
        <family val="34"/>
      </rPr>
      <t>Same as Code 6090 except larger in diameter</t>
    </r>
  </si>
  <si>
    <r>
      <rPr>
        <sz val="8"/>
        <color rgb="FF231F20"/>
        <rFont val="Arial"/>
        <family val="34"/>
      </rPr>
      <t>SEW ER LINE MANHOLE (78")</t>
    </r>
  </si>
  <si>
    <r>
      <rPr>
        <sz val="8"/>
        <color rgb="FF231F20"/>
        <rFont val="Arial"/>
        <family val="34"/>
      </rPr>
      <t>$ 3,000.00</t>
    </r>
  </si>
  <si>
    <r>
      <rPr>
        <sz val="8"/>
        <color rgb="FF231F20"/>
        <rFont val="Arial"/>
        <family val="34"/>
      </rPr>
      <t>Same as Code 6090 except larger in diameter.</t>
    </r>
  </si>
  <si>
    <r>
      <rPr>
        <sz val="8"/>
        <color rgb="FF231F20"/>
        <rFont val="Arial"/>
        <family val="34"/>
      </rPr>
      <t>WATER LINE INDIVIDUAL - REMOVE AND REPLACE</t>
    </r>
  </si>
  <si>
    <r>
      <rPr>
        <sz val="8"/>
        <color rgb="FF231F20"/>
        <rFont val="Arial"/>
        <family val="34"/>
      </rPr>
      <t>W ater line, individual - remove &amp; replace.</t>
    </r>
  </si>
  <si>
    <r>
      <rPr>
        <sz val="8"/>
        <color rgb="FF231F20"/>
        <rFont val="Arial"/>
        <family val="34"/>
      </rPr>
      <t>FIRE HYDRANT ADJUSTMENT</t>
    </r>
  </si>
  <si>
    <r>
      <rPr>
        <sz val="8"/>
        <color rgb="FF231F20"/>
        <rFont val="Arial"/>
        <family val="34"/>
      </rPr>
      <t>$ 135.00</t>
    </r>
  </si>
  <si>
    <r>
      <rPr>
        <sz val="8"/>
        <color rgb="FF231F20"/>
        <rFont val="Arial"/>
        <family val="34"/>
      </rPr>
      <t>Fire hydrant adjustment</t>
    </r>
  </si>
  <si>
    <r>
      <rPr>
        <sz val="8"/>
        <color rgb="FF231F20"/>
        <rFont val="Arial"/>
        <family val="34"/>
      </rPr>
      <t>FIRE HYDRANT</t>
    </r>
  </si>
  <si>
    <r>
      <rPr>
        <sz val="8"/>
        <color rgb="FF231F20"/>
        <rFont val="Arial"/>
        <family val="34"/>
      </rPr>
      <t>$ 1,250.00</t>
    </r>
  </si>
  <si>
    <r>
      <rPr>
        <sz val="8"/>
        <color rgb="FF231F20"/>
        <rFont val="Arial"/>
        <family val="34"/>
      </rPr>
      <t>Fire hydrant</t>
    </r>
  </si>
  <si>
    <r>
      <rPr>
        <sz val="8"/>
        <color rgb="FF231F20"/>
        <rFont val="Arial"/>
        <family val="34"/>
      </rPr>
      <t>GATE VALVE (6")</t>
    </r>
  </si>
  <si>
    <r>
      <rPr>
        <sz val="8"/>
        <color rgb="FF231F20"/>
        <rFont val="Arial"/>
        <family val="34"/>
      </rPr>
      <t>Cost of gate valve installed in line, including labor and equipment.</t>
    </r>
  </si>
  <si>
    <r>
      <rPr>
        <sz val="8"/>
        <color rgb="FF231F20"/>
        <rFont val="Arial"/>
        <family val="34"/>
      </rPr>
      <t>GATE VALVE (8")</t>
    </r>
  </si>
  <si>
    <r>
      <rPr>
        <sz val="8"/>
        <color rgb="FF231F20"/>
        <rFont val="Arial"/>
        <family val="34"/>
      </rPr>
      <t>$ 600.00</t>
    </r>
  </si>
  <si>
    <r>
      <rPr>
        <sz val="8"/>
        <color rgb="FF231F20"/>
        <rFont val="Arial"/>
        <family val="34"/>
      </rPr>
      <t>Same as Code 6130 except larger valve.</t>
    </r>
  </si>
  <si>
    <r>
      <rPr>
        <sz val="8"/>
        <color rgb="FF231F20"/>
        <rFont val="Arial"/>
        <family val="34"/>
      </rPr>
      <t>GATE VALVE (12")</t>
    </r>
  </si>
  <si>
    <r>
      <rPr>
        <sz val="8"/>
        <color rgb="FF231F20"/>
        <rFont val="Arial"/>
        <family val="34"/>
      </rPr>
      <t>GATE VALVE (16")</t>
    </r>
  </si>
  <si>
    <r>
      <rPr>
        <sz val="8"/>
        <color rgb="FF231F20"/>
        <rFont val="Arial"/>
        <family val="34"/>
      </rPr>
      <t>SEW ER LINE REPAIR 8" CONCRETE (0" - 10" DEPTH)</t>
    </r>
  </si>
  <si>
    <r>
      <rPr>
        <sz val="8"/>
        <color rgb="FF231F20"/>
        <rFont val="Arial"/>
        <family val="34"/>
      </rPr>
      <t>Materials, equipment and labor necessary to repair broken sewer line</t>
    </r>
  </si>
  <si>
    <r>
      <rPr>
        <sz val="8"/>
        <color rgb="FF231F20"/>
        <rFont val="Arial"/>
        <family val="34"/>
      </rPr>
      <t>including excavation, backfill, shoring and pipe.</t>
    </r>
  </si>
  <si>
    <r>
      <rPr>
        <sz val="8"/>
        <color rgb="FF231F20"/>
        <rFont val="Arial"/>
        <family val="34"/>
      </rPr>
      <t>SEW ER LINE REPAIR 8" CONCRETE (10' - 20' DEPTH)</t>
    </r>
  </si>
  <si>
    <r>
      <rPr>
        <sz val="8"/>
        <color rgb="FF231F20"/>
        <rFont val="Arial"/>
        <family val="34"/>
      </rPr>
      <t>$ 125.00</t>
    </r>
  </si>
  <si>
    <r>
      <rPr>
        <sz val="8"/>
        <color rgb="FF231F20"/>
        <rFont val="Arial"/>
        <family val="34"/>
      </rPr>
      <t>Same as Code 6140 except deeper trench.</t>
    </r>
  </si>
  <si>
    <r>
      <rPr>
        <sz val="8"/>
        <color rgb="FF231F20"/>
        <rFont val="Arial"/>
        <family val="34"/>
      </rPr>
      <t>SEW ER LINE REPAIR 10" CONCRETE (0 - 10' DEPTH)</t>
    </r>
  </si>
  <si>
    <r>
      <rPr>
        <sz val="8"/>
        <color rgb="FF231F20"/>
        <rFont val="Arial"/>
        <family val="34"/>
      </rPr>
      <t>$ 130.00</t>
    </r>
  </si>
  <si>
    <r>
      <rPr>
        <sz val="8"/>
        <color rgb="FF231F20"/>
        <rFont val="Arial"/>
        <family val="34"/>
      </rPr>
      <t>Same as Code 6140 except larger diameter pipe.</t>
    </r>
  </si>
  <si>
    <r>
      <rPr>
        <sz val="8"/>
        <color rgb="FF231F20"/>
        <rFont val="Arial"/>
        <family val="34"/>
      </rPr>
      <t>SEW ER LINE REPAIR 10" CONCRETE (10' - 20' DEPTH)</t>
    </r>
  </si>
  <si>
    <r>
      <rPr>
        <sz val="8"/>
        <color rgb="FF231F20"/>
        <rFont val="Arial"/>
        <family val="34"/>
      </rPr>
      <t>Same as Code 6140 except larger diameter pipe and deeper trench.</t>
    </r>
  </si>
  <si>
    <r>
      <rPr>
        <sz val="8"/>
        <color rgb="FF231F20"/>
        <rFont val="Arial"/>
        <family val="34"/>
      </rPr>
      <t>SEW ER LINE REPAIR 12" CONCRETE (0 - 10' DEPTH)</t>
    </r>
  </si>
  <si>
    <r>
      <rPr>
        <sz val="8"/>
        <color rgb="FF231F20"/>
        <rFont val="Arial"/>
        <family val="34"/>
      </rPr>
      <t>SEW ER LINE REPAIR 12" CONCRETE (10' - 20' DEPTH)</t>
    </r>
  </si>
  <si>
    <r>
      <rPr>
        <sz val="8"/>
        <color rgb="FF231F20"/>
        <rFont val="Arial"/>
        <family val="34"/>
      </rPr>
      <t>SEW ER LINE REPAIR 15" CONCRETE (0 - 10' DEPTH)</t>
    </r>
  </si>
  <si>
    <r>
      <rPr>
        <sz val="8"/>
        <color rgb="FF231F20"/>
        <rFont val="Arial"/>
        <family val="34"/>
      </rPr>
      <t>$ 215.00</t>
    </r>
  </si>
  <si>
    <r>
      <rPr>
        <sz val="8"/>
        <color rgb="FF231F20"/>
        <rFont val="Arial"/>
        <family val="34"/>
      </rPr>
      <t>SEW ER LINE REPAIR 15" CONCRETE (10' - 20' DEPTH)</t>
    </r>
  </si>
  <si>
    <r>
      <rPr>
        <sz val="8"/>
        <color rgb="FF231F20"/>
        <rFont val="Arial"/>
        <family val="34"/>
      </rPr>
      <t>$ 225.00</t>
    </r>
  </si>
  <si>
    <t>SEW ER LINE REPAIR 18" CONCRETE (0 - 10' DEPTH)
Same as Code 6140 except larger diameter pipe</t>
  </si>
  <si>
    <r>
      <rPr>
        <sz val="8"/>
        <color rgb="FF231F20"/>
        <rFont val="Arial"/>
        <family val="34"/>
      </rPr>
      <t xml:space="preserve">SEW ER LINE REPAIR 24" CONCRETE (10' - 20' DEPTH)
</t>
    </r>
    <r>
      <rPr>
        <sz val="8"/>
        <color rgb="FF231F20"/>
        <rFont val="Arial"/>
        <family val="34"/>
      </rPr>
      <t>Same as Code 6140 except larger diameter pipe and deeper trench.</t>
    </r>
  </si>
  <si>
    <r>
      <rPr>
        <sz val="8"/>
        <color rgb="FF231F20"/>
        <rFont val="Arial"/>
        <family val="34"/>
      </rPr>
      <t>SEW ER LINE REPAIR 24" CONCRETE (0 - 10' DEPTH)</t>
    </r>
  </si>
  <si>
    <r>
      <rPr>
        <sz val="8"/>
        <color rgb="FF231F20"/>
        <rFont val="Arial"/>
        <family val="34"/>
      </rPr>
      <t>SEW ER LINE REPAIR 24" CONCRETE (10' - 20' DEPTH)</t>
    </r>
  </si>
  <si>
    <r>
      <rPr>
        <sz val="8"/>
        <color rgb="FF231F20"/>
        <rFont val="Arial"/>
        <family val="34"/>
      </rPr>
      <t>Excavation, structural</t>
    </r>
  </si>
  <si>
    <r>
      <rPr>
        <sz val="8"/>
        <color rgb="FF231F20"/>
        <rFont val="Arial"/>
        <family val="34"/>
      </rPr>
      <t>Backfill structural</t>
    </r>
  </si>
  <si>
    <r>
      <rPr>
        <sz val="8"/>
        <color rgb="FF231F20"/>
        <rFont val="Arial"/>
        <family val="34"/>
      </rPr>
      <t>$ 4.25</t>
    </r>
  </si>
  <si>
    <r>
      <rPr>
        <sz val="8"/>
        <color rgb="FF231F20"/>
        <rFont val="Arial"/>
        <family val="34"/>
      </rPr>
      <t>Same as Code 3150 but includes concrete also.</t>
    </r>
  </si>
  <si>
    <r>
      <rPr>
        <sz val="8"/>
        <color rgb="FF231F20"/>
        <rFont val="Arial"/>
        <family val="34"/>
      </rPr>
      <t>CONCRETE SIDEW ALK REMOVAL</t>
    </r>
  </si>
  <si>
    <r>
      <rPr>
        <sz val="8"/>
        <color rgb="FF231F20"/>
        <rFont val="Arial"/>
        <family val="34"/>
      </rPr>
      <t>Concrete sidewalk removal</t>
    </r>
  </si>
  <si>
    <r>
      <rPr>
        <sz val="8"/>
        <color rgb="FF231F20"/>
        <rFont val="Arial"/>
        <family val="34"/>
      </rPr>
      <t>Concrete curb and gutter removal</t>
    </r>
  </si>
  <si>
    <r>
      <rPr>
        <sz val="8"/>
        <color rgb="FF231F20"/>
        <rFont val="Arial"/>
        <family val="34"/>
      </rPr>
      <t>CONCRETE SIDEW ALK (4")</t>
    </r>
  </si>
  <si>
    <r>
      <rPr>
        <sz val="8"/>
        <color rgb="FF231F20"/>
        <rFont val="Arial"/>
        <family val="34"/>
      </rPr>
      <t>Concrete sidewalk 4"</t>
    </r>
  </si>
  <si>
    <r>
      <rPr>
        <sz val="8"/>
        <color rgb="FF231F20"/>
        <rFont val="Arial"/>
        <family val="34"/>
      </rPr>
      <t>Concrete curb and gutter</t>
    </r>
  </si>
  <si>
    <r>
      <rPr>
        <sz val="8"/>
        <color rgb="FF231F20"/>
        <rFont val="Arial"/>
        <family val="34"/>
      </rPr>
      <t>CONCRETE PAVEMENT (NO RE-BARS)</t>
    </r>
  </si>
  <si>
    <r>
      <rPr>
        <sz val="8"/>
        <color rgb="FF231F20"/>
        <rFont val="Arial"/>
        <family val="34"/>
      </rPr>
      <t>Concrete pavement - no re-bars</t>
    </r>
  </si>
  <si>
    <r>
      <rPr>
        <sz val="8"/>
        <color rgb="FF231F20"/>
        <rFont val="Arial"/>
        <family val="34"/>
      </rPr>
      <t>WATER MAIN (10")</t>
    </r>
  </si>
  <si>
    <r>
      <rPr>
        <sz val="8"/>
        <color rgb="FF231F20"/>
        <rFont val="Arial"/>
        <family val="34"/>
      </rPr>
      <t>W ater main 10"</t>
    </r>
  </si>
  <si>
    <r>
      <rPr>
        <sz val="8"/>
        <color rgb="FF231F20"/>
        <rFont val="Arial"/>
        <family val="34"/>
      </rPr>
      <t>BEDDING UNDER PIPE</t>
    </r>
  </si>
  <si>
    <r>
      <rPr>
        <sz val="8"/>
        <color rgb="FF231F20"/>
        <rFont val="Arial"/>
        <family val="34"/>
      </rPr>
      <t>May be more difficult to install in a trench.</t>
    </r>
  </si>
  <si>
    <r>
      <rPr>
        <sz val="8"/>
        <color rgb="FF231F20"/>
        <rFont val="Arial"/>
        <family val="34"/>
      </rPr>
      <t>POLE ELECTRIC (30')</t>
    </r>
  </si>
  <si>
    <r>
      <rPr>
        <sz val="8"/>
        <color rgb="FF231F20"/>
        <rFont val="Arial"/>
        <family val="34"/>
      </rPr>
      <t>$ 395.00</t>
    </r>
  </si>
  <si>
    <r>
      <rPr>
        <sz val="8"/>
        <color rgb="FF231F20"/>
        <rFont val="Arial"/>
        <family val="34"/>
      </rPr>
      <t>W ooden, treated, in place. Does not include hardware or cross arms.</t>
    </r>
  </si>
  <si>
    <r>
      <rPr>
        <sz val="8"/>
        <color rgb="FF231F20"/>
        <rFont val="Arial"/>
        <family val="34"/>
      </rPr>
      <t>POLE, ELECTRIC (35')</t>
    </r>
  </si>
  <si>
    <r>
      <rPr>
        <sz val="8"/>
        <color rgb="FF231F20"/>
        <rFont val="Arial"/>
        <family val="34"/>
      </rPr>
      <t>$ 480.00</t>
    </r>
  </si>
  <si>
    <r>
      <rPr>
        <sz val="8"/>
        <color rgb="FF231F20"/>
        <rFont val="Arial"/>
        <family val="34"/>
      </rPr>
      <t>Same as code 6300 except longer</t>
    </r>
  </si>
  <si>
    <r>
      <rPr>
        <sz val="8"/>
        <color rgb="FF231F20"/>
        <rFont val="Arial"/>
        <family val="34"/>
      </rPr>
      <t>POLE ELECTRIC (40')</t>
    </r>
  </si>
  <si>
    <r>
      <rPr>
        <sz val="8"/>
        <color rgb="FF231F20"/>
        <rFont val="Arial"/>
        <family val="34"/>
      </rPr>
      <t>$ 515.00</t>
    </r>
  </si>
  <si>
    <r>
      <rPr>
        <sz val="8"/>
        <color rgb="FF231F20"/>
        <rFont val="Arial"/>
        <family val="34"/>
      </rPr>
      <t>Same as Code 6300 except longer</t>
    </r>
  </si>
  <si>
    <r>
      <rPr>
        <sz val="8"/>
        <color rgb="FF231F20"/>
        <rFont val="Arial"/>
        <family val="34"/>
      </rPr>
      <t>POLE ELECTRIC (45')</t>
    </r>
  </si>
  <si>
    <r>
      <rPr>
        <sz val="8"/>
        <color rgb="FF231F20"/>
        <rFont val="Arial"/>
        <family val="34"/>
      </rPr>
      <t>$ 675.00</t>
    </r>
  </si>
  <si>
    <r>
      <rPr>
        <sz val="8"/>
        <color rgb="FF231F20"/>
        <rFont val="Arial"/>
        <family val="34"/>
      </rPr>
      <t>TRANSFORMERS 5 KVA (COST)</t>
    </r>
  </si>
  <si>
    <r>
      <rPr>
        <sz val="8"/>
        <color rgb="FF231F20"/>
        <rFont val="Arial"/>
        <family val="34"/>
      </rPr>
      <t>Transformers 5 KVA - cost</t>
    </r>
  </si>
  <si>
    <r>
      <rPr>
        <sz val="8"/>
        <color rgb="FF231F20"/>
        <rFont val="Arial"/>
        <family val="34"/>
      </rPr>
      <t>TRANSFORMERS 10 KVA (COST)</t>
    </r>
  </si>
  <si>
    <r>
      <rPr>
        <sz val="8"/>
        <color rgb="FF231F20"/>
        <rFont val="Arial"/>
        <family val="34"/>
      </rPr>
      <t>$ 281.00</t>
    </r>
  </si>
  <si>
    <r>
      <rPr>
        <sz val="8"/>
        <color rgb="FF231F20"/>
        <rFont val="Arial"/>
        <family val="34"/>
      </rPr>
      <t>Transformers 10 KVA - cost</t>
    </r>
  </si>
  <si>
    <r>
      <rPr>
        <sz val="8"/>
        <color rgb="FF231F20"/>
        <rFont val="Arial"/>
        <family val="34"/>
      </rPr>
      <t>TRANSFORMERS 25 KVA (COST)</t>
    </r>
  </si>
  <si>
    <r>
      <rPr>
        <sz val="8"/>
        <color rgb="FF231F20"/>
        <rFont val="Arial"/>
        <family val="34"/>
      </rPr>
      <t>Transformers 25 KVA - cost</t>
    </r>
  </si>
  <si>
    <r>
      <rPr>
        <sz val="8"/>
        <color rgb="FF231F20"/>
        <rFont val="Arial"/>
        <family val="34"/>
      </rPr>
      <t>ELECTRIC MOTOR (1/2 HP) REMOVE DRY AND REINSTALL</t>
    </r>
  </si>
  <si>
    <r>
      <rPr>
        <sz val="8"/>
        <color rgb="FF231F20"/>
        <rFont val="Arial"/>
        <family val="34"/>
      </rPr>
      <t>Consists of removing, cleaning, varnishing and baking motor, replacing bearings - but not rewinding or making other repairs.</t>
    </r>
  </si>
  <si>
    <r>
      <rPr>
        <sz val="8"/>
        <color rgb="FF231F20"/>
        <rFont val="Arial"/>
        <family val="34"/>
      </rPr>
      <t>ELECTRIC MOTOR (7 1/2 HP) REMOVE DRY AND REINSTALL</t>
    </r>
  </si>
  <si>
    <r>
      <rPr>
        <sz val="8"/>
        <color rgb="FF231F20"/>
        <rFont val="Arial"/>
        <family val="34"/>
      </rPr>
      <t>Same as Code 6320 except larger motor.</t>
    </r>
  </si>
  <si>
    <r>
      <rPr>
        <sz val="8"/>
        <color rgb="FF231F20"/>
        <rFont val="Arial"/>
        <family val="34"/>
      </rPr>
      <t>ELECTRIC MOTOR (15 HP) REMOVE DRY AND REINSTALL</t>
    </r>
  </si>
  <si>
    <r>
      <rPr>
        <sz val="8"/>
        <color rgb="FF231F20"/>
        <rFont val="Arial"/>
        <family val="34"/>
      </rPr>
      <t>ELECTRIC MOTOR (60 HP) REMOVE, DRY AND REINSTALL</t>
    </r>
  </si>
  <si>
    <r>
      <rPr>
        <sz val="8"/>
        <color rgb="FF231F20"/>
        <rFont val="Arial"/>
        <family val="34"/>
      </rPr>
      <t>CROSS ARMS W ITH HARDW ARE (4')</t>
    </r>
  </si>
  <si>
    <r>
      <rPr>
        <sz val="8"/>
        <color rgb="FF231F20"/>
        <rFont val="Arial"/>
        <family val="34"/>
      </rPr>
      <t>Cost to install cross arms on pole including labor, equipment and material.</t>
    </r>
  </si>
  <si>
    <t>CROSS ARMS W ITH HARDW ARE (5')
Same as Code 6330 except longer</t>
  </si>
  <si>
    <r>
      <rPr>
        <sz val="8"/>
        <color rgb="FF231F20"/>
        <rFont val="Arial"/>
        <family val="34"/>
      </rPr>
      <t>CROSS ARMS W ITH HARDW ARE (6') Same as Code 6330 except longer</t>
    </r>
  </si>
  <si>
    <r>
      <rPr>
        <sz val="8"/>
        <color rgb="FF231F20"/>
        <rFont val="Arial"/>
        <family val="34"/>
      </rPr>
      <t>ELECTRIC METERS (HOUSE)</t>
    </r>
  </si>
  <si>
    <r>
      <rPr>
        <sz val="8"/>
        <color rgb="FF231F20"/>
        <rFont val="Arial"/>
        <family val="34"/>
      </rPr>
      <t>$ 40.00</t>
    </r>
  </si>
  <si>
    <r>
      <rPr>
        <sz val="8"/>
        <color rgb="FF231F20"/>
        <rFont val="Arial"/>
        <family val="34"/>
      </rPr>
      <t>Cost of meter only, does not include meter base, weather head, etc.</t>
    </r>
  </si>
  <si>
    <r>
      <rPr>
        <sz val="8"/>
        <color rgb="FF231F20"/>
        <rFont val="Arial"/>
        <family val="34"/>
      </rPr>
      <t>PUMP AND MOTOR REPAIR (2 HP)</t>
    </r>
  </si>
  <si>
    <r>
      <rPr>
        <sz val="8"/>
        <color rgb="FF231F20"/>
        <rFont val="Arial"/>
        <family val="34"/>
      </rPr>
      <t>Portable pump and engine mounted on frame. Damages incurred to pump and or motor while being used during event period.</t>
    </r>
  </si>
  <si>
    <r>
      <rPr>
        <sz val="8"/>
        <color rgb="FF231F20"/>
        <rFont val="Arial"/>
        <family val="34"/>
      </rPr>
      <t>PUMP AND MOTOR REPAIR (5 HP)</t>
    </r>
  </si>
  <si>
    <r>
      <rPr>
        <sz val="8"/>
        <color rgb="FF231F20"/>
        <rFont val="Arial"/>
        <family val="34"/>
      </rPr>
      <t>Same as Code 6350 except larger hp.</t>
    </r>
  </si>
  <si>
    <r>
      <rPr>
        <sz val="8"/>
        <color rgb="FF231F20"/>
        <rFont val="Arial"/>
        <family val="34"/>
      </rPr>
      <t>PUMP AND MOTOR REPAIR (10 HP)</t>
    </r>
  </si>
  <si>
    <r>
      <rPr>
        <sz val="8"/>
        <color rgb="FF231F20"/>
        <rFont val="Arial"/>
        <family val="34"/>
      </rPr>
      <t>PUMP AND MOTOR REPAIR (15 HP)</t>
    </r>
  </si>
  <si>
    <r>
      <rPr>
        <sz val="8"/>
        <color rgb="FF231F20"/>
        <rFont val="Arial"/>
        <family val="34"/>
      </rPr>
      <t>$ 1,100.00</t>
    </r>
  </si>
  <si>
    <r>
      <rPr>
        <sz val="8"/>
        <color rgb="FF231F20"/>
        <rFont val="Arial"/>
        <family val="34"/>
      </rPr>
      <t>Same as Code 6350 except larger hp</t>
    </r>
  </si>
  <si>
    <r>
      <rPr>
        <sz val="8"/>
        <color rgb="FF231F20"/>
        <rFont val="Arial"/>
        <family val="34"/>
      </rPr>
      <t>PIPE, PVC 8"</t>
    </r>
  </si>
  <si>
    <r>
      <rPr>
        <sz val="8"/>
        <color rgb="FF231F20"/>
        <rFont val="Arial"/>
        <family val="34"/>
      </rPr>
      <t>8" pvc pipe</t>
    </r>
  </si>
  <si>
    <r>
      <rPr>
        <sz val="8"/>
        <color rgb="FF231F20"/>
        <rFont val="Arial"/>
        <family val="34"/>
      </rPr>
      <t>RESEED GRASSLANDS, SCARIFY, FERTILIZE</t>
    </r>
  </si>
  <si>
    <r>
      <rPr>
        <sz val="8"/>
        <color rgb="FF231F20"/>
        <rFont val="Arial"/>
        <family val="34"/>
      </rPr>
      <t>$ 0.11</t>
    </r>
  </si>
  <si>
    <r>
      <rPr>
        <sz val="8"/>
        <color rgb="FF231F20"/>
        <rFont val="Arial"/>
        <family val="34"/>
      </rPr>
      <t>Reseed grasslands, scarify, fertilize</t>
    </r>
  </si>
  <si>
    <r>
      <rPr>
        <sz val="8"/>
        <color rgb="FF231F20"/>
        <rFont val="Arial"/>
        <family val="34"/>
      </rPr>
      <t>Same as Code 7010 except measured by Acre.</t>
    </r>
  </si>
  <si>
    <r>
      <rPr>
        <sz val="8"/>
        <color rgb="FF231F20"/>
        <rFont val="Arial"/>
        <family val="34"/>
      </rPr>
      <t>TOP SOIL AND SEEDING (HYDRO)</t>
    </r>
  </si>
  <si>
    <r>
      <rPr>
        <sz val="8"/>
        <color rgb="FF231F20"/>
        <rFont val="Arial"/>
        <family val="34"/>
      </rPr>
      <t>Top soil and seeding (hydro)</t>
    </r>
  </si>
  <si>
    <r>
      <rPr>
        <sz val="8"/>
        <color rgb="FF231F20"/>
        <rFont val="Arial"/>
        <family val="34"/>
      </rPr>
      <t>TREE (1 1/2" - 2 1/2") REPLACEMENT</t>
    </r>
  </si>
  <si>
    <r>
      <rPr>
        <sz val="8"/>
        <color rgb="FF231F20"/>
        <rFont val="Arial"/>
        <family val="34"/>
      </rPr>
      <t>Tree replacement (1 1/2" - 2 1/2")</t>
    </r>
  </si>
  <si>
    <r>
      <rPr>
        <sz val="8"/>
        <color rgb="FF231F20"/>
        <rFont val="Arial"/>
        <family val="34"/>
      </rPr>
      <t>FILL ROOT CRATERS</t>
    </r>
  </si>
  <si>
    <r>
      <rPr>
        <sz val="8"/>
        <color rgb="FF231F20"/>
        <rFont val="Arial"/>
        <family val="34"/>
      </rPr>
      <t>Fill root craters</t>
    </r>
  </si>
  <si>
    <r>
      <rPr>
        <sz val="8"/>
        <color rgb="FF231F20"/>
        <rFont val="Arial"/>
        <family val="34"/>
      </rPr>
      <t>BASEBALL BACKSTOP REPLACEMENT</t>
    </r>
  </si>
  <si>
    <r>
      <rPr>
        <sz val="8"/>
        <color rgb="FF231F20"/>
        <rFont val="Arial"/>
        <family val="34"/>
      </rPr>
      <t>Baseball backstop replacement</t>
    </r>
  </si>
  <si>
    <r>
      <rPr>
        <sz val="8"/>
        <color rgb="FF231F20"/>
        <rFont val="Arial"/>
        <family val="34"/>
      </rPr>
      <t>FENCE, TENNIS COURT REPLACEMENT</t>
    </r>
  </si>
  <si>
    <r>
      <rPr>
        <sz val="8"/>
        <color rgb="FF231F20"/>
        <rFont val="Arial"/>
        <family val="34"/>
      </rPr>
      <t>Tennis court fence replacement</t>
    </r>
  </si>
  <si>
    <r>
      <rPr>
        <sz val="8"/>
        <color rgb="FF231F20"/>
        <rFont val="Arial"/>
        <family val="34"/>
      </rPr>
      <t>ROOF (SMALL STRUCTURE) REPLACEMENT</t>
    </r>
  </si>
  <si>
    <r>
      <rPr>
        <sz val="8"/>
        <color rgb="FF231F20"/>
        <rFont val="Arial"/>
        <family val="34"/>
      </rPr>
      <t>Roof replacement, small structure</t>
    </r>
  </si>
  <si>
    <r>
      <rPr>
        <sz val="8"/>
        <color rgb="FF231F20"/>
        <rFont val="Arial"/>
        <family val="34"/>
      </rPr>
      <t>BLEACHERS GRANDSTAND REPLACEMENT</t>
    </r>
  </si>
  <si>
    <r>
      <rPr>
        <sz val="8"/>
        <color rgb="FF231F20"/>
        <rFont val="Arial"/>
        <family val="34"/>
      </rPr>
      <t>Bleachers, grandstand replacement seat</t>
    </r>
  </si>
  <si>
    <r>
      <rPr>
        <sz val="8"/>
        <color rgb="FF231F20"/>
        <rFont val="Arial"/>
        <family val="34"/>
      </rPr>
      <t>FENCE CHAIN LINK PERIMETER (5')</t>
    </r>
  </si>
  <si>
    <r>
      <rPr>
        <sz val="8"/>
        <color rgb="FF231F20"/>
        <rFont val="Arial"/>
        <family val="34"/>
      </rPr>
      <t>Chain link perimeter fence (5')</t>
    </r>
  </si>
  <si>
    <r>
      <rPr>
        <sz val="8"/>
        <color rgb="FF231F20"/>
        <rFont val="Arial"/>
        <family val="34"/>
      </rPr>
      <t>FENCE CHAIN LINK PERIMETER (6')</t>
    </r>
  </si>
  <si>
    <r>
      <rPr>
        <sz val="8"/>
        <color rgb="FF231F20"/>
        <rFont val="Arial"/>
        <family val="34"/>
      </rPr>
      <t>Chain link perimeter fence (6')</t>
    </r>
  </si>
  <si>
    <r>
      <rPr>
        <sz val="8"/>
        <color rgb="FF231F20"/>
        <rFont val="Arial"/>
        <family val="34"/>
      </rPr>
      <t>FENCE CHAIN LINK PERIMETER (8')</t>
    </r>
  </si>
  <si>
    <r>
      <rPr>
        <sz val="8"/>
        <color rgb="FF231F20"/>
        <rFont val="Arial"/>
        <family val="34"/>
      </rPr>
      <t>Same as Code 7080 except 8'.</t>
    </r>
  </si>
  <si>
    <r>
      <rPr>
        <sz val="8"/>
        <color rgb="FF231F20"/>
        <rFont val="Arial"/>
        <family val="34"/>
      </rPr>
      <t>FENCE CHAIN LINK PERIMETER (10')</t>
    </r>
  </si>
  <si>
    <r>
      <rPr>
        <sz val="8"/>
        <color rgb="FF231F20"/>
        <rFont val="Arial"/>
        <family val="34"/>
      </rPr>
      <t>Same as Code 7080 except 10'</t>
    </r>
  </si>
  <si>
    <r>
      <rPr>
        <sz val="8"/>
        <color rgb="FF231F20"/>
        <rFont val="Arial"/>
        <family val="34"/>
      </rPr>
      <t>FENCE REMOVAL</t>
    </r>
  </si>
  <si>
    <r>
      <rPr>
        <sz val="8"/>
        <color rgb="FF231F20"/>
        <rFont val="Arial"/>
        <family val="34"/>
      </rPr>
      <t>Fence removal</t>
    </r>
  </si>
  <si>
    <r>
      <rPr>
        <sz val="8"/>
        <color rgb="FF231F20"/>
        <rFont val="Arial"/>
        <family val="34"/>
      </rPr>
      <t>FENCE CHAIN LINK GATES (5')</t>
    </r>
  </si>
  <si>
    <r>
      <rPr>
        <sz val="8"/>
        <color rgb="FF231F20"/>
        <rFont val="Arial"/>
        <family val="34"/>
      </rPr>
      <t>Gates, chain link fence (5')</t>
    </r>
  </si>
  <si>
    <r>
      <rPr>
        <sz val="8"/>
        <color rgb="FF231F20"/>
        <rFont val="Arial"/>
        <family val="34"/>
      </rPr>
      <t>FENCE CHAIN LINK GATES (6')</t>
    </r>
  </si>
  <si>
    <r>
      <rPr>
        <sz val="8"/>
        <color rgb="FF231F20"/>
        <rFont val="Arial"/>
        <family val="34"/>
      </rPr>
      <t>Same as Code 7090 except 6'</t>
    </r>
  </si>
  <si>
    <t>FENCE CHAIN LINK GATES (8')
Same as Code 7090 except 8'</t>
  </si>
  <si>
    <r>
      <rPr>
        <sz val="8"/>
        <color rgb="FF231F20"/>
        <rFont val="Arial"/>
        <family val="34"/>
      </rPr>
      <t>FENCE CHAIN LINK GATES (10') Same as Code 7090 except 10'</t>
    </r>
  </si>
  <si>
    <r>
      <rPr>
        <sz val="8"/>
        <color rgb="FF231F20"/>
        <rFont val="Arial"/>
        <family val="34"/>
      </rPr>
      <t>TABLES, PICNIC REPLACEMENT Picnic table replacement</t>
    </r>
  </si>
  <si>
    <r>
      <rPr>
        <sz val="8"/>
        <color rgb="FF231F20"/>
        <rFont val="Arial"/>
        <family val="34"/>
      </rPr>
      <t>BENCH PARK (STEEL FRAME/W OOD 10') REPLACEMENT Park bench replacement (steel frame/wood)</t>
    </r>
  </si>
  <si>
    <r>
      <rPr>
        <sz val="8"/>
        <color rgb="FF231F20"/>
        <rFont val="Arial"/>
        <family val="34"/>
      </rPr>
      <t>TRASH BARREL REPLACEMENT Trash barrel replacement</t>
    </r>
  </si>
  <si>
    <r>
      <rPr>
        <sz val="8"/>
        <color rgb="FF231F20"/>
        <rFont val="Arial"/>
        <family val="34"/>
      </rPr>
      <t>SLIDE (12' LONG 6' HIGH) REPLACEMENT Sllide replacement (12' Long, 6' high)</t>
    </r>
  </si>
  <si>
    <r>
      <rPr>
        <sz val="8"/>
        <color rgb="FF231F20"/>
        <rFont val="Arial"/>
        <family val="34"/>
      </rPr>
      <t>$ 695.00</t>
    </r>
  </si>
  <si>
    <r>
      <rPr>
        <sz val="8"/>
        <color rgb="FF231F20"/>
        <rFont val="Arial"/>
        <family val="34"/>
      </rPr>
      <t>GRILL OUTDOOR REPLACEMENT Outdoor grill replacement</t>
    </r>
  </si>
  <si>
    <r>
      <rPr>
        <sz val="8"/>
        <color rgb="FF231F20"/>
        <rFont val="Arial"/>
        <family val="34"/>
      </rPr>
      <t>DOCK W OOD PILE SUPPORT (2" DECK) Dock pile support, wood, 2" deck</t>
    </r>
  </si>
  <si>
    <r>
      <rPr>
        <sz val="8"/>
        <color rgb="FF231F20"/>
        <rFont val="Arial"/>
        <family val="34"/>
      </rPr>
      <t>DOCK FLOATING (PREFAB) Prefab floating dock</t>
    </r>
  </si>
  <si>
    <r>
      <rPr>
        <sz val="8"/>
        <color rgb="FF231F20"/>
        <rFont val="Arial"/>
        <family val="34"/>
      </rPr>
      <t>SOD REPLACEMENT Sod replacement</t>
    </r>
  </si>
  <si>
    <r>
      <rPr>
        <sz val="8"/>
        <color rgb="FF231F20"/>
        <rFont val="Arial"/>
        <family val="34"/>
      </rPr>
      <t>POSTS GUARD (4" W OOD) REPLACEMENT Guard post replacement (4" wood)</t>
    </r>
  </si>
  <si>
    <r>
      <rPr>
        <sz val="8"/>
        <color rgb="FF231F20"/>
        <rFont val="Arial"/>
        <family val="34"/>
      </rPr>
      <t>PUMP OUT TOILET VAULTS Pump out toilet vaults</t>
    </r>
  </si>
  <si>
    <r>
      <rPr>
        <sz val="8"/>
        <color rgb="FF231F20"/>
        <rFont val="Arial"/>
        <family val="34"/>
      </rPr>
      <t>SIGNS W OOD (PAINTED LETTERS) W ood signs (painted letters)</t>
    </r>
  </si>
  <si>
    <r>
      <rPr>
        <sz val="8"/>
        <color rgb="FF231F20"/>
        <rFont val="Arial"/>
        <family val="34"/>
      </rPr>
      <t>SIGNS W OOD (ROUTERED LETTERS) W ood signs, routered letters</t>
    </r>
  </si>
  <si>
    <r>
      <rPr>
        <sz val="8"/>
        <color rgb="FF231F20"/>
        <rFont val="Arial"/>
        <family val="34"/>
      </rPr>
      <t>STONE DUST (FOR BASEBALL DIAMONDS) Stone dust for baseball diamonds</t>
    </r>
  </si>
  <si>
    <r>
      <rPr>
        <sz val="8"/>
        <color rgb="FF231F20"/>
        <rFont val="Arial"/>
        <family val="34"/>
      </rPr>
      <t>$ 22.00</t>
    </r>
  </si>
  <si>
    <r>
      <rPr>
        <sz val="8"/>
        <color rgb="FF231F20"/>
        <rFont val="Arial"/>
        <family val="34"/>
      </rPr>
      <t xml:space="preserve">CEF COST ESTIMATE
</t>
    </r>
    <r>
      <rPr>
        <sz val="8"/>
        <color rgb="FF231F20"/>
        <rFont val="Arial"/>
        <family val="34"/>
      </rPr>
      <t>Estimated costs from the cost estimating format (CEF) spreadsheet.</t>
    </r>
  </si>
  <si>
    <r>
      <rPr>
        <sz val="8"/>
        <color rgb="FF231F20"/>
        <rFont val="Arial"/>
        <family val="34"/>
      </rPr>
      <t>CONTRACT Contract</t>
    </r>
  </si>
  <si>
    <r>
      <rPr>
        <sz val="8"/>
        <color rgb="FF231F20"/>
        <rFont val="Arial"/>
        <family val="34"/>
      </rPr>
      <t>CONTRACT COSTS Contract costs</t>
    </r>
  </si>
  <si>
    <r>
      <rPr>
        <sz val="8"/>
        <color rgb="FF231F20"/>
        <rFont val="Arial"/>
        <family val="34"/>
      </rPr>
      <t>RENTED EQUIPMENT Rented equipment</t>
    </r>
  </si>
  <si>
    <t>LABOR, O/T W/O BENEFITS Labor, overtime w/o benefits</t>
  </si>
  <si>
    <t>LABOR, W/O BENEFITS Labor w/o benefits</t>
  </si>
  <si>
    <r>
      <rPr>
        <sz val="8"/>
        <color rgb="FF231F20"/>
        <rFont val="Arial"/>
        <family val="34"/>
      </rPr>
      <t>LABOR Labor</t>
    </r>
  </si>
  <si>
    <r>
      <rPr>
        <sz val="8"/>
        <color rgb="FF231F20"/>
        <rFont val="Arial"/>
        <family val="34"/>
      </rPr>
      <t>EQUIPMENT Equipment</t>
    </r>
  </si>
  <si>
    <r>
      <rPr>
        <sz val="8"/>
        <color rgb="FF231F20"/>
        <rFont val="Arial"/>
        <family val="34"/>
      </rPr>
      <t>MATERIAL Material</t>
    </r>
  </si>
  <si>
    <r>
      <rPr>
        <sz val="8"/>
        <color rgb="FF231F20"/>
        <rFont val="Arial"/>
        <family val="34"/>
      </rPr>
      <t>LABORER, REGULAR TIME Laborer, regular time</t>
    </r>
  </si>
  <si>
    <r>
      <rPr>
        <sz val="8"/>
        <color rgb="FF231F20"/>
        <rFont val="Arial"/>
        <family val="34"/>
      </rPr>
      <t>LABORER, OVERTIME Laborer, overtime</t>
    </r>
  </si>
  <si>
    <t>EQUIPMENT OPERATOR REGULAR TIME 
Equipment operator, regular time</t>
  </si>
  <si>
    <r>
      <rPr>
        <sz val="8"/>
        <color rgb="FF231F20"/>
        <rFont val="Arial"/>
        <family val="34"/>
      </rPr>
      <t>EQUIPMENT OPERATOR, OVERTIME Equipment operator, overtime</t>
    </r>
  </si>
  <si>
    <r>
      <rPr>
        <sz val="8"/>
        <color rgb="FF231F20"/>
        <rFont val="Arial"/>
        <family val="34"/>
      </rPr>
      <t>WORKING FOREMAN, REGULAR TIME</t>
    </r>
  </si>
  <si>
    <t>Working foreman, regular time</t>
  </si>
  <si>
    <r>
      <rPr>
        <sz val="8"/>
        <color rgb="FF231F20"/>
        <rFont val="Arial"/>
        <family val="34"/>
      </rPr>
      <t>WORKING FOREMAN, OVERTIME</t>
    </r>
  </si>
  <si>
    <t>Working foreman, overtime</t>
  </si>
  <si>
    <r>
      <rPr>
        <sz val="8"/>
        <color rgb="FF231F20"/>
        <rFont val="Arial"/>
        <family val="34"/>
      </rPr>
      <t>EXTRA HIRE W /PAYROLL ADDITIVES REGULAR TIME</t>
    </r>
  </si>
  <si>
    <r>
      <rPr>
        <sz val="8"/>
        <color rgb="FF231F20"/>
        <rFont val="Arial"/>
        <family val="34"/>
      </rPr>
      <t>Extra hire w/payroll additives, regular time</t>
    </r>
  </si>
  <si>
    <r>
      <rPr>
        <sz val="8"/>
        <color rgb="FF231F20"/>
        <rFont val="Arial"/>
        <family val="34"/>
      </rPr>
      <t>EXTRA HIRE W /PAYROLL ADDITIVES, OVERTIME</t>
    </r>
  </si>
  <si>
    <r>
      <rPr>
        <sz val="8"/>
        <color rgb="FF231F20"/>
        <rFont val="Arial"/>
        <family val="34"/>
      </rPr>
      <t>Extra hire w/payroll additives, overtime</t>
    </r>
  </si>
  <si>
    <r>
      <rPr>
        <sz val="8"/>
        <color rgb="FF231F20"/>
        <rFont val="Arial"/>
        <family val="34"/>
      </rPr>
      <t>FIRE FIGHTERS OVERTIME</t>
    </r>
  </si>
  <si>
    <r>
      <rPr>
        <sz val="8"/>
        <color rgb="FF231F20"/>
        <rFont val="Arial"/>
        <family val="34"/>
      </rPr>
      <t>Fire fighters, overtime</t>
    </r>
  </si>
  <si>
    <r>
      <rPr>
        <sz val="8"/>
        <color rgb="FF231F20"/>
        <rFont val="Arial"/>
        <family val="34"/>
      </rPr>
      <t>Police overtime</t>
    </r>
  </si>
  <si>
    <r>
      <rPr>
        <sz val="8"/>
        <color rgb="FF231F20"/>
        <rFont val="Arial"/>
        <family val="34"/>
      </rPr>
      <t>DISPATCHER OVERTIME</t>
    </r>
  </si>
  <si>
    <r>
      <rPr>
        <sz val="8"/>
        <color rgb="FF231F20"/>
        <rFont val="Arial"/>
        <family val="34"/>
      </rPr>
      <t>Dispatcher overtime</t>
    </r>
  </si>
  <si>
    <r>
      <rPr>
        <sz val="8"/>
        <color rgb="FF231F20"/>
        <rFont val="Arial"/>
        <family val="34"/>
      </rPr>
      <t>CONTRACT LABOR</t>
    </r>
  </si>
  <si>
    <r>
      <rPr>
        <sz val="8"/>
        <color rgb="FF231F20"/>
        <rFont val="Arial"/>
        <family val="34"/>
      </rPr>
      <t>Contract labor</t>
    </r>
  </si>
  <si>
    <r>
      <rPr>
        <sz val="8"/>
        <color rgb="FF231F20"/>
        <rFont val="Arial"/>
        <family val="34"/>
      </rPr>
      <t>Volunteer Labor</t>
    </r>
  </si>
  <si>
    <r>
      <rPr>
        <sz val="8"/>
        <color rgb="FF231F20"/>
        <rFont val="Arial"/>
        <family val="34"/>
      </rPr>
      <t>DONATED RESOURCES</t>
    </r>
  </si>
  <si>
    <r>
      <rPr>
        <sz val="8"/>
        <color rgb="FF231F20"/>
        <rFont val="Arial"/>
        <family val="34"/>
      </rPr>
      <t>CONTRACT EQUIPMENT</t>
    </r>
  </si>
  <si>
    <r>
      <rPr>
        <sz val="8"/>
        <color rgb="FF231F20"/>
        <rFont val="Arial"/>
        <family val="34"/>
      </rPr>
      <t>Contract equipment</t>
    </r>
  </si>
  <si>
    <r>
      <rPr>
        <sz val="8"/>
        <color rgb="FF231F20"/>
        <rFont val="Arial"/>
        <family val="34"/>
      </rPr>
      <t>Donated Resources</t>
    </r>
  </si>
  <si>
    <r>
      <rPr>
        <sz val="8"/>
        <color rgb="FF231F20"/>
        <rFont val="Arial"/>
        <family val="34"/>
      </rPr>
      <t>PA PILOT: GRANTS ON THE BASIS OF ESTIMATE - CAT A</t>
    </r>
  </si>
  <si>
    <r>
      <rPr>
        <sz val="8"/>
        <color rgb="FF231F20"/>
        <rFont val="Arial"/>
        <family val="34"/>
      </rPr>
      <t>$ 0.01</t>
    </r>
  </si>
  <si>
    <r>
      <rPr>
        <sz val="8"/>
        <color rgb="FF231F20"/>
        <rFont val="Arial"/>
        <family val="34"/>
      </rPr>
      <t>PA Pilot, grants on the basis of estimate, Cat A</t>
    </r>
  </si>
  <si>
    <r>
      <rPr>
        <sz val="8"/>
        <color rgb="FF231F20"/>
        <rFont val="Arial"/>
        <family val="34"/>
      </rPr>
      <t>PA PILOT: GRANTS ON THE BASIS OF ESTIMATES, CAT C-G</t>
    </r>
  </si>
  <si>
    <r>
      <rPr>
        <sz val="8"/>
        <color rgb="FF231F20"/>
        <rFont val="Arial"/>
        <family val="34"/>
      </rPr>
      <t>PA Pilot, grants on the basis of estimates, CAT C-G.</t>
    </r>
  </si>
  <si>
    <r>
      <rPr>
        <sz val="8"/>
        <color rgb="FF231F20"/>
        <rFont val="Arial"/>
        <family val="34"/>
      </rPr>
      <t>PA PILOT: INCREASED FEDERAL SHARE INCENTIVE</t>
    </r>
  </si>
  <si>
    <r>
      <rPr>
        <sz val="8"/>
        <color rgb="FF231F20"/>
        <rFont val="Arial"/>
        <family val="34"/>
      </rPr>
      <t>PA Pilot: increased federal share incentive</t>
    </r>
  </si>
  <si>
    <r>
      <rPr>
        <sz val="8"/>
        <color rgb="FF231F20"/>
        <rFont val="Arial"/>
        <family val="34"/>
      </rPr>
      <t>PS PILOT: DEBRIS RECYCLING</t>
    </r>
  </si>
  <si>
    <r>
      <rPr>
        <sz val="8"/>
        <color rgb="FF231F20"/>
        <rFont val="Arial"/>
        <family val="34"/>
      </rPr>
      <t>PA Pilot - debris recyclling</t>
    </r>
  </si>
  <si>
    <r>
      <rPr>
        <sz val="8"/>
        <color rgb="FF231F20"/>
        <rFont val="Arial"/>
        <family val="34"/>
      </rPr>
      <t>PA PILOT: FORCE ACCOUNT LABOR</t>
    </r>
  </si>
  <si>
    <r>
      <rPr>
        <sz val="8"/>
        <color rgb="FF231F20"/>
        <rFont val="Arial"/>
        <family val="34"/>
      </rPr>
      <t>PA Pilot - force account labor</t>
    </r>
  </si>
  <si>
    <r>
      <rPr>
        <sz val="8"/>
        <color rgb="FF231F20"/>
        <rFont val="Arial"/>
        <family val="34"/>
      </rPr>
      <t>DIRECT ADMINISTRATIVE COSTS (SUBGRANTEE)</t>
    </r>
  </si>
  <si>
    <r>
      <rPr>
        <sz val="8"/>
        <color rgb="FF231F20"/>
        <rFont val="Arial"/>
        <family val="34"/>
      </rPr>
      <t>Direct Administrative Costs are limited to actual reasonable costs incurred</t>
    </r>
  </si>
  <si>
    <r>
      <rPr>
        <sz val="8"/>
        <color rgb="FF231F20"/>
        <rFont val="Arial"/>
        <family val="34"/>
      </rPr>
      <t>by the Subgrantee for a specific project. Direct Administrative Costs can be</t>
    </r>
  </si>
  <si>
    <r>
      <rPr>
        <sz val="8"/>
        <color rgb="FF231F20"/>
        <rFont val="Arial"/>
        <family val="34"/>
      </rPr>
      <t xml:space="preserve">estimated based on the labor, eqipment, or other expense that can be
</t>
    </r>
    <r>
      <rPr>
        <sz val="8"/>
        <color rgb="FF231F20"/>
        <rFont val="Arial"/>
        <family val="34"/>
      </rPr>
      <t>directly accountable to that project. The estimated costs will be attached to</t>
    </r>
  </si>
  <si>
    <r>
      <rPr>
        <sz val="8"/>
        <color rgb="FF231F20"/>
        <rFont val="Arial"/>
        <family val="34"/>
      </rPr>
      <t xml:space="preserve">the Project W orksheet as back-up documentation. Direct Management
</t>
    </r>
    <r>
      <rPr>
        <sz val="8"/>
        <color rgb="FF231F20"/>
        <rFont val="Arial"/>
        <family val="34"/>
      </rPr>
      <t>Costs are not allowed to be based on a percentage of the total eligible</t>
    </r>
  </si>
  <si>
    <r>
      <rPr>
        <sz val="8"/>
        <color rgb="FF231F20"/>
        <rFont val="Arial"/>
        <family val="34"/>
      </rPr>
      <t>project cost.</t>
    </r>
  </si>
  <si>
    <r>
      <rPr>
        <sz val="8"/>
        <color rgb="FF231F20"/>
        <rFont val="Arial"/>
        <family val="34"/>
      </rPr>
      <t>DIRECT ADMINISTRATIVE COSTS (GRANTEE)</t>
    </r>
  </si>
  <si>
    <r>
      <rPr>
        <sz val="8"/>
        <color rgb="FF231F20"/>
        <rFont val="Arial"/>
        <family val="34"/>
      </rPr>
      <t xml:space="preserve">by the Grantee for a specific prooject. Direct Administrative Costs can be
</t>
    </r>
    <r>
      <rPr>
        <sz val="8"/>
        <color rgb="FF231F20"/>
        <rFont val="Arial"/>
        <family val="34"/>
      </rPr>
      <t>estimated based on the labor, equipment, or other expense that can be</t>
    </r>
  </si>
  <si>
    <r>
      <rPr>
        <sz val="8"/>
        <color rgb="FF231F20"/>
        <rFont val="Arial"/>
        <family val="34"/>
      </rPr>
      <t xml:space="preserve">directly accountable to the project. The estimated costs will be attached to
</t>
    </r>
    <r>
      <rPr>
        <sz val="8"/>
        <color rgb="FF231F20"/>
        <rFont val="Arial"/>
        <family val="34"/>
      </rPr>
      <t>the Project W orksheet as back-up documentation. Direct Grant</t>
    </r>
  </si>
  <si>
    <r>
      <rPr>
        <sz val="8"/>
        <color rgb="FF231F20"/>
        <rFont val="Arial"/>
        <family val="34"/>
      </rPr>
      <t>Management Costs are not allowed to be based on a percentage of the</t>
    </r>
  </si>
  <si>
    <r>
      <rPr>
        <sz val="8"/>
        <color rgb="FF231F20"/>
        <rFont val="Arial"/>
        <family val="34"/>
      </rPr>
      <t>total eligible cost.</t>
    </r>
  </si>
  <si>
    <r>
      <rPr>
        <sz val="8"/>
        <color rgb="FF231F20"/>
        <rFont val="Arial"/>
        <family val="34"/>
      </rPr>
      <t>OTH</t>
    </r>
  </si>
  <si>
    <r>
      <rPr>
        <sz val="8"/>
        <color rgb="FF231F20"/>
        <rFont val="Arial"/>
        <family val="34"/>
      </rPr>
      <t>**</t>
    </r>
  </si>
  <si>
    <r>
      <rPr>
        <sz val="8"/>
        <rFont val="Arial"/>
        <family val="34"/>
      </rPr>
      <t>hour</t>
    </r>
  </si>
  <si>
    <r>
      <rPr>
        <sz val="8"/>
        <rFont val="Arial"/>
        <family val="34"/>
      </rPr>
      <t>Aerial Lift, Self-Propelled</t>
    </r>
  </si>
  <si>
    <r>
      <rPr>
        <sz val="8"/>
        <rFont val="Arial"/>
        <family val="34"/>
      </rPr>
      <t>Articulated, Telescoping, Scissor.</t>
    </r>
  </si>
  <si>
    <r>
      <rPr>
        <sz val="8"/>
        <rFont val="Arial"/>
        <family val="34"/>
      </rPr>
      <t>Articulated and Telescoping.</t>
    </r>
  </si>
  <si>
    <r>
      <rPr>
        <sz val="8"/>
        <rFont val="Arial"/>
        <family val="34"/>
      </rPr>
      <t>Aerial Lift, Truck Mntd</t>
    </r>
  </si>
  <si>
    <r>
      <rPr>
        <sz val="8"/>
        <rFont val="Arial"/>
        <family val="34"/>
      </rPr>
      <t xml:space="preserve">Articulated and Telescoping. Add to
</t>
    </r>
    <r>
      <rPr>
        <sz val="8"/>
        <rFont val="Arial"/>
        <family val="34"/>
      </rPr>
      <t>Truck rate for total rate.</t>
    </r>
  </si>
  <si>
    <r>
      <rPr>
        <sz val="8"/>
        <rFont val="Arial"/>
        <family val="34"/>
      </rPr>
      <t>Air Compressor</t>
    </r>
  </si>
  <si>
    <r>
      <rPr>
        <sz val="8"/>
        <rFont val="Arial"/>
        <family val="34"/>
      </rPr>
      <t>Hoses included.</t>
    </r>
  </si>
  <si>
    <r>
      <rPr>
        <sz val="8"/>
        <rFont val="Arial"/>
        <family val="34"/>
      </rPr>
      <t>Ambulance</t>
    </r>
  </si>
  <si>
    <r>
      <rPr>
        <sz val="8"/>
        <rFont val="Arial"/>
        <family val="34"/>
      </rPr>
      <t>Auger, Portable</t>
    </r>
  </si>
  <si>
    <r>
      <rPr>
        <sz val="8"/>
        <rFont val="Arial"/>
        <family val="34"/>
      </rPr>
      <t>Auger, Tractor Mntd</t>
    </r>
  </si>
  <si>
    <r>
      <rPr>
        <sz val="8"/>
        <rFont val="Arial"/>
        <family val="34"/>
      </rPr>
      <t>Includes digger, boom and mounting hardware. Add to Tractor rate for total rate.</t>
    </r>
  </si>
  <si>
    <r>
      <rPr>
        <sz val="8"/>
        <rFont val="Arial"/>
        <family val="34"/>
      </rPr>
      <t>Auger, Truck Mntd</t>
    </r>
  </si>
  <si>
    <r>
      <rPr>
        <sz val="8"/>
        <rFont val="Arial"/>
        <family val="34"/>
      </rPr>
      <t>Includes digger, boom and mounting hardware. Add to Truck rate for total rate.</t>
    </r>
  </si>
  <si>
    <r>
      <rPr>
        <sz val="8"/>
        <rFont val="Arial"/>
        <family val="34"/>
      </rPr>
      <t>mile</t>
    </r>
  </si>
  <si>
    <r>
      <rPr>
        <sz val="8"/>
        <rFont val="Arial"/>
        <family val="34"/>
      </rPr>
      <t>Automobile</t>
    </r>
  </si>
  <si>
    <r>
      <rPr>
        <sz val="8"/>
        <rFont val="Arial"/>
        <family val="34"/>
      </rPr>
      <t>Transporting people.</t>
    </r>
  </si>
  <si>
    <r>
      <rPr>
        <sz val="8"/>
        <rFont val="Arial"/>
        <family val="34"/>
      </rPr>
      <t>Transporting cargo.</t>
    </r>
  </si>
  <si>
    <r>
      <rPr>
        <sz val="8"/>
        <rFont val="Arial"/>
        <family val="34"/>
      </rPr>
      <t>Automobile, Police</t>
    </r>
  </si>
  <si>
    <r>
      <rPr>
        <sz val="8"/>
        <rFont val="Arial"/>
        <family val="34"/>
      </rPr>
      <t>Patrolling.</t>
    </r>
  </si>
  <si>
    <r>
      <rPr>
        <sz val="8"/>
        <rFont val="Arial"/>
        <family val="34"/>
      </rPr>
      <t>Stationary with engine running.</t>
    </r>
  </si>
  <si>
    <r>
      <rPr>
        <sz val="8"/>
        <rFont val="Arial"/>
        <family val="34"/>
      </rPr>
      <t>Barge, Deck</t>
    </r>
  </si>
  <si>
    <r>
      <rPr>
        <sz val="8"/>
        <rFont val="Arial"/>
        <family val="34"/>
      </rPr>
      <t>Board, Arrow</t>
    </r>
  </si>
  <si>
    <r>
      <rPr>
        <sz val="8"/>
        <rFont val="Arial"/>
        <family val="34"/>
      </rPr>
      <t>Trailer Mounted.</t>
    </r>
  </si>
  <si>
    <r>
      <rPr>
        <sz val="8"/>
        <rFont val="Arial"/>
        <family val="34"/>
      </rPr>
      <t>Board, Message</t>
    </r>
  </si>
  <si>
    <r>
      <rPr>
        <sz val="8"/>
        <rFont val="Arial"/>
        <family val="34"/>
      </rPr>
      <t>Boat, Push</t>
    </r>
  </si>
  <si>
    <r>
      <rPr>
        <sz val="8"/>
        <rFont val="Arial"/>
        <family val="34"/>
      </rPr>
      <t>Flat hull.</t>
    </r>
  </si>
  <si>
    <r>
      <rPr>
        <sz val="8"/>
        <rFont val="Arial"/>
        <family val="34"/>
      </rPr>
      <t>Boat, Row</t>
    </r>
  </si>
  <si>
    <r>
      <rPr>
        <sz val="8"/>
        <rFont val="Arial"/>
        <family val="34"/>
      </rPr>
      <t>Heavy duty.</t>
    </r>
  </si>
  <si>
    <r>
      <rPr>
        <sz val="8"/>
        <rFont val="Arial"/>
        <family val="34"/>
      </rPr>
      <t>Boat, Runabout</t>
    </r>
  </si>
  <si>
    <r>
      <rPr>
        <sz val="8"/>
        <rFont val="Arial"/>
        <family val="34"/>
      </rPr>
      <t>Outboard.</t>
    </r>
  </si>
  <si>
    <r>
      <rPr>
        <sz val="8"/>
        <rFont val="Arial"/>
        <family val="34"/>
      </rPr>
      <t>Boat, Tender</t>
    </r>
  </si>
  <si>
    <r>
      <rPr>
        <sz val="8"/>
        <rFont val="Arial"/>
        <family val="34"/>
      </rPr>
      <t>Inboard with 360 degree drive.</t>
    </r>
  </si>
  <si>
    <r>
      <rPr>
        <sz val="8"/>
        <rFont val="Arial"/>
        <family val="34"/>
      </rPr>
      <t>Boat, Tow</t>
    </r>
  </si>
  <si>
    <r>
      <rPr>
        <sz val="8"/>
        <rFont val="Arial"/>
        <family val="34"/>
      </rPr>
      <t>Steel.</t>
    </r>
  </si>
  <si>
    <r>
      <rPr>
        <sz val="8"/>
        <rFont val="Arial"/>
        <family val="34"/>
      </rPr>
      <t>Boat, Tug</t>
    </r>
  </si>
  <si>
    <r>
      <rPr>
        <sz val="8"/>
        <rFont val="Arial"/>
        <family val="34"/>
      </rPr>
      <t>Breaker, Pavement, Hand-Held</t>
    </r>
  </si>
  <si>
    <r>
      <rPr>
        <sz val="8"/>
        <rFont val="Arial"/>
        <family val="34"/>
      </rPr>
      <t>Breaker, Pavement</t>
    </r>
  </si>
  <si>
    <r>
      <rPr>
        <sz val="8"/>
        <rFont val="Arial"/>
        <family val="34"/>
      </rPr>
      <t>Broom, Pavement</t>
    </r>
  </si>
  <si>
    <r>
      <rPr>
        <sz val="8"/>
        <rFont val="Arial"/>
        <family val="34"/>
      </rPr>
      <t>Broom, Pavement, Mntd</t>
    </r>
  </si>
  <si>
    <r>
      <rPr>
        <sz val="8"/>
        <rFont val="Arial"/>
        <family val="34"/>
      </rPr>
      <t>Add to Prime Mover rate for total rate.</t>
    </r>
  </si>
  <si>
    <r>
      <rPr>
        <sz val="8"/>
        <rFont val="Arial"/>
        <family val="34"/>
      </rPr>
      <t>Broom, Pavement, Pull</t>
    </r>
  </si>
  <si>
    <r>
      <rPr>
        <sz val="8"/>
        <rFont val="Arial"/>
        <family val="34"/>
      </rPr>
      <t>Bucket, Clamshell</t>
    </r>
  </si>
  <si>
    <r>
      <rPr>
        <sz val="8"/>
        <rFont val="Arial"/>
        <family val="34"/>
      </rPr>
      <t xml:space="preserve">Includes teeth. Does not include
</t>
    </r>
    <r>
      <rPr>
        <sz val="8"/>
        <rFont val="Arial"/>
        <family val="34"/>
      </rPr>
      <t>Clamshell &amp; Dragline.</t>
    </r>
  </si>
  <si>
    <r>
      <rPr>
        <sz val="8"/>
        <rFont val="Arial"/>
        <family val="34"/>
      </rPr>
      <t>Bucket, Dragline</t>
    </r>
  </si>
  <si>
    <r>
      <rPr>
        <sz val="8"/>
        <rFont val="Arial"/>
        <family val="34"/>
      </rPr>
      <t>Does not include Clamshell &amp; Dragline.</t>
    </r>
  </si>
  <si>
    <r>
      <rPr>
        <sz val="8"/>
        <rFont val="Arial"/>
        <family val="34"/>
      </rPr>
      <t>Bus</t>
    </r>
  </si>
  <si>
    <r>
      <rPr>
        <sz val="8"/>
        <rFont val="Arial"/>
        <family val="34"/>
      </rPr>
      <t>Chain Saw</t>
    </r>
  </si>
  <si>
    <r>
      <rPr>
        <sz val="8"/>
        <rFont val="Arial"/>
        <family val="34"/>
      </rPr>
      <t>Chain Saw, Pole</t>
    </r>
  </si>
  <si>
    <r>
      <rPr>
        <sz val="8"/>
        <rFont val="Arial"/>
        <family val="34"/>
      </rPr>
      <t>Chipper, Brush</t>
    </r>
  </si>
  <si>
    <r>
      <rPr>
        <sz val="8"/>
        <rFont val="Arial"/>
        <family val="34"/>
      </rPr>
      <t>Clamshell &amp; Dragline, Crawler</t>
    </r>
  </si>
  <si>
    <r>
      <rPr>
        <sz val="8"/>
        <rFont val="Arial"/>
        <family val="34"/>
      </rPr>
      <t>Bucket not included in rate.</t>
    </r>
  </si>
  <si>
    <r>
      <rPr>
        <sz val="8"/>
        <rFont val="Arial"/>
        <family val="34"/>
      </rPr>
      <t>Clamshell &amp; Dragline, Truck</t>
    </r>
  </si>
  <si>
    <r>
      <rPr>
        <sz val="8"/>
        <rFont val="Arial"/>
        <family val="34"/>
      </rPr>
      <t xml:space="preserve">Cleaner, Sewer/Catch
</t>
    </r>
    <r>
      <rPr>
        <sz val="8"/>
        <rFont val="Arial"/>
        <family val="34"/>
      </rPr>
      <t>Basin</t>
    </r>
  </si>
  <si>
    <r>
      <rPr>
        <sz val="8"/>
        <rFont val="Arial"/>
        <family val="34"/>
      </rPr>
      <t>Truck Mounted. Add to Truck rate for total rate.</t>
    </r>
  </si>
  <si>
    <r>
      <rPr>
        <sz val="8"/>
        <rFont val="Arial"/>
        <family val="34"/>
      </rPr>
      <t>Compactor</t>
    </r>
  </si>
  <si>
    <r>
      <rPr>
        <sz val="8"/>
        <rFont val="Arial"/>
        <family val="34"/>
      </rPr>
      <t>Compactor, Towed, Vibratory Drum</t>
    </r>
  </si>
  <si>
    <r>
      <rPr>
        <sz val="8"/>
        <rFont val="Arial"/>
        <family val="34"/>
      </rPr>
      <t>Compactor, Vibratory, Drum</t>
    </r>
  </si>
  <si>
    <r>
      <rPr>
        <sz val="8"/>
        <rFont val="Arial"/>
        <family val="34"/>
      </rPr>
      <t>Compactor, Pneumatic, Wheel</t>
    </r>
  </si>
  <si>
    <r>
      <rPr>
        <sz val="8"/>
        <rFont val="Arial"/>
        <family val="34"/>
      </rPr>
      <t>Compactor, Sanitation</t>
    </r>
  </si>
  <si>
    <r>
      <rPr>
        <sz val="8"/>
        <rFont val="Arial"/>
        <family val="34"/>
      </rPr>
      <t>Compactor, Towed, Pneumatic, Wheel</t>
    </r>
  </si>
  <si>
    <r>
      <rPr>
        <sz val="8"/>
        <rFont val="Arial"/>
        <family val="34"/>
      </rPr>
      <t>Compactor, Towed, Drum Static</t>
    </r>
  </si>
  <si>
    <r>
      <rPr>
        <sz val="8"/>
        <rFont val="Arial"/>
        <family val="34"/>
      </rPr>
      <t>Crane</t>
    </r>
  </si>
  <si>
    <r>
      <rPr>
        <sz val="8"/>
        <rFont val="Arial"/>
        <family val="34"/>
      </rPr>
      <t>Crane, Truck Mntd</t>
    </r>
  </si>
  <si>
    <r>
      <rPr>
        <sz val="8"/>
        <rFont val="Arial"/>
        <family val="34"/>
      </rPr>
      <t>Add to Truck rate for total rate.</t>
    </r>
  </si>
  <si>
    <r>
      <rPr>
        <sz val="8"/>
        <rFont val="Arial"/>
        <family val="34"/>
      </rPr>
      <t>Cutter, Brush</t>
    </r>
  </si>
  <si>
    <r>
      <rPr>
        <sz val="8"/>
        <rFont val="Arial"/>
        <family val="34"/>
      </rPr>
      <t>Derrick, Hydraulic Digger</t>
    </r>
  </si>
  <si>
    <r>
      <rPr>
        <sz val="8"/>
        <rFont val="Arial"/>
        <family val="34"/>
      </rPr>
      <t>Includes hydraulic pole alignment attachment. Add to Truck rate.</t>
    </r>
  </si>
  <si>
    <r>
      <rPr>
        <sz val="8"/>
        <rFont val="Arial"/>
        <family val="34"/>
      </rPr>
      <t>Distributor, Asphalt</t>
    </r>
  </si>
  <si>
    <r>
      <rPr>
        <sz val="8"/>
        <rFont val="Arial"/>
        <family val="34"/>
      </rPr>
      <t>insulated tank, and circulating spray bar.</t>
    </r>
  </si>
  <si>
    <r>
      <rPr>
        <sz val="8"/>
        <rFont val="Arial"/>
        <family val="34"/>
      </rPr>
      <t>Truck Mounted. Includes burners, insulated tank, and circulating spray bar. Add to Truck rate.</t>
    </r>
  </si>
  <si>
    <r>
      <rPr>
        <sz val="8"/>
        <rFont val="Arial"/>
        <family val="34"/>
      </rPr>
      <t>Dozer, Crawler</t>
    </r>
  </si>
  <si>
    <r>
      <rPr>
        <sz val="8"/>
        <rFont val="Arial"/>
        <family val="34"/>
      </rPr>
      <t>Dozer, Wheel</t>
    </r>
  </si>
  <si>
    <r>
      <rPr>
        <sz val="8"/>
        <rFont val="Arial"/>
        <family val="34"/>
      </rPr>
      <t>Excavator, Hydraulic</t>
    </r>
  </si>
  <si>
    <r>
      <rPr>
        <sz val="8"/>
        <rFont val="Arial"/>
        <family val="34"/>
      </rPr>
      <t>Crawler, Truck &amp; Wheel. Includes bucket.</t>
    </r>
  </si>
  <si>
    <r>
      <rPr>
        <sz val="8"/>
        <rFont val="Arial"/>
        <family val="34"/>
      </rPr>
      <t>Feeder, Grizzly</t>
    </r>
  </si>
  <si>
    <r>
      <rPr>
        <sz val="8"/>
        <rFont val="Arial"/>
        <family val="34"/>
      </rPr>
      <t>Fork Lift</t>
    </r>
  </si>
  <si>
    <r>
      <rPr>
        <sz val="8"/>
        <rFont val="Arial"/>
        <family val="34"/>
      </rPr>
      <t>Generator</t>
    </r>
  </si>
  <si>
    <r>
      <rPr>
        <sz val="8"/>
        <rFont val="Arial"/>
        <family val="34"/>
      </rPr>
      <t>Golf Cart</t>
    </r>
  </si>
  <si>
    <r>
      <rPr>
        <sz val="8"/>
        <rFont val="Arial"/>
        <family val="34"/>
      </rPr>
      <t>Graders</t>
    </r>
  </si>
  <si>
    <r>
      <rPr>
        <sz val="8"/>
        <rFont val="Arial"/>
        <family val="34"/>
      </rPr>
      <t>Includes Rigid and Articulate</t>
    </r>
  </si>
  <si>
    <r>
      <rPr>
        <sz val="8"/>
        <rFont val="Arial"/>
        <family val="34"/>
      </rPr>
      <t>Hose, Discharge</t>
    </r>
  </si>
  <si>
    <r>
      <rPr>
        <sz val="8"/>
        <rFont val="Arial"/>
        <family val="34"/>
      </rPr>
      <t>Per 25 foot length. Includes couplings.</t>
    </r>
  </si>
  <si>
    <r>
      <rPr>
        <sz val="8"/>
        <rFont val="Arial"/>
        <family val="34"/>
      </rPr>
      <t>Hose, Suction</t>
    </r>
  </si>
  <si>
    <r>
      <rPr>
        <sz val="8"/>
        <rFont val="Arial"/>
        <family val="34"/>
      </rPr>
      <t>Jackhammer (Dry)</t>
    </r>
  </si>
  <si>
    <r>
      <rPr>
        <sz val="8"/>
        <rFont val="Arial"/>
        <family val="34"/>
      </rPr>
      <t>Jackhammer (Wet)</t>
    </r>
  </si>
  <si>
    <r>
      <rPr>
        <sz val="8"/>
        <rFont val="Arial"/>
        <family val="34"/>
      </rPr>
      <t>Loader, Crawler</t>
    </r>
  </si>
  <si>
    <r>
      <rPr>
        <sz val="8"/>
        <rFont val="Arial"/>
        <family val="34"/>
      </rPr>
      <t>Includes bucket.</t>
    </r>
  </si>
  <si>
    <r>
      <rPr>
        <sz val="8"/>
        <rFont val="Arial"/>
        <family val="34"/>
      </rPr>
      <t>Loader, Skid-Steer</t>
    </r>
  </si>
  <si>
    <r>
      <rPr>
        <sz val="8"/>
        <rFont val="Arial"/>
        <family val="34"/>
      </rPr>
      <t>Loader, Tractor, Wheel</t>
    </r>
  </si>
  <si>
    <r>
      <rPr>
        <sz val="8"/>
        <rFont val="Arial"/>
        <family val="34"/>
      </rPr>
      <t>Loader, Wheel</t>
    </r>
  </si>
  <si>
    <r>
      <rPr>
        <sz val="8"/>
        <rFont val="Arial"/>
        <family val="34"/>
      </rPr>
      <t>Loader-Backhoe, Wheel</t>
    </r>
  </si>
  <si>
    <r>
      <rPr>
        <sz val="8"/>
        <rFont val="Arial"/>
        <family val="34"/>
      </rPr>
      <t>Loader and Backhoe Buckets included.</t>
    </r>
  </si>
  <si>
    <r>
      <rPr>
        <sz val="8"/>
        <rFont val="Arial"/>
        <family val="34"/>
      </rPr>
      <t>Loader-Backhoe,  Wheel</t>
    </r>
  </si>
  <si>
    <r>
      <rPr>
        <sz val="8"/>
        <rFont val="Arial"/>
        <family val="34"/>
      </rPr>
      <t>Mixer, Concrete Portable</t>
    </r>
  </si>
  <si>
    <r>
      <rPr>
        <sz val="8"/>
        <rFont val="Arial"/>
        <family val="34"/>
      </rPr>
      <t xml:space="preserve">Mixer, Concrete, Trailer
</t>
    </r>
    <r>
      <rPr>
        <sz val="8"/>
        <rFont val="Arial"/>
        <family val="34"/>
      </rPr>
      <t>Mntd</t>
    </r>
  </si>
  <si>
    <r>
      <rPr>
        <sz val="8"/>
        <rFont val="Arial"/>
        <family val="34"/>
      </rPr>
      <t>Motorcycle, Police</t>
    </r>
  </si>
  <si>
    <r>
      <rPr>
        <sz val="8"/>
        <rFont val="Arial"/>
        <family val="34"/>
      </rPr>
      <t>Mulcher, Trailer Mntd</t>
    </r>
  </si>
  <si>
    <r>
      <rPr>
        <sz val="8"/>
        <rFont val="Arial"/>
        <family val="34"/>
      </rPr>
      <t>Paver, Asphalt, Towed</t>
    </r>
  </si>
  <si>
    <r>
      <rPr>
        <sz val="8"/>
        <rFont val="Arial"/>
        <family val="34"/>
      </rPr>
      <t>Does not include Prime Mover.</t>
    </r>
  </si>
  <si>
    <r>
      <rPr>
        <sz val="8"/>
        <rFont val="Arial"/>
        <family val="34"/>
      </rPr>
      <t>Paver, Asphalt</t>
    </r>
  </si>
  <si>
    <r>
      <rPr>
        <sz val="8"/>
        <rFont val="Arial"/>
        <family val="34"/>
      </rPr>
      <t>Includes wheel and crawler equipment.</t>
    </r>
  </si>
  <si>
    <r>
      <rPr>
        <sz val="8"/>
        <rFont val="Arial"/>
        <family val="34"/>
      </rPr>
      <t>Pick-up, Asphalt</t>
    </r>
  </si>
  <si>
    <r>
      <rPr>
        <sz val="8"/>
        <rFont val="Arial"/>
        <family val="34"/>
      </rPr>
      <t>Plow, Cable</t>
    </r>
  </si>
  <si>
    <r>
      <rPr>
        <sz val="8"/>
        <rFont val="Arial"/>
        <family val="34"/>
      </rPr>
      <t>Plow, Snow, Grader Mntd</t>
    </r>
  </si>
  <si>
    <r>
      <rPr>
        <sz val="8"/>
        <rFont val="Arial"/>
        <family val="34"/>
      </rPr>
      <t>Add to Grader for total rate.</t>
    </r>
  </si>
  <si>
    <r>
      <rPr>
        <sz val="8"/>
        <rFont val="Arial"/>
        <family val="34"/>
      </rPr>
      <t>Plow, Snow, Truck Mntd</t>
    </r>
  </si>
  <si>
    <r>
      <rPr>
        <sz val="8"/>
        <rFont val="Arial"/>
        <family val="34"/>
      </rPr>
      <t>With leveling wing. Add to Truck rate for total rate.</t>
    </r>
  </si>
  <si>
    <r>
      <rPr>
        <sz val="8"/>
        <rFont val="Arial"/>
        <family val="34"/>
      </rPr>
      <t>Pump</t>
    </r>
  </si>
  <si>
    <r>
      <rPr>
        <sz val="8"/>
        <rFont val="Arial"/>
        <family val="34"/>
      </rPr>
      <t>Does not include Hoses.</t>
    </r>
  </si>
  <si>
    <r>
      <rPr>
        <sz val="8"/>
        <rFont val="Arial"/>
        <family val="34"/>
      </rPr>
      <t>Saw, Concrete</t>
    </r>
  </si>
  <si>
    <r>
      <rPr>
        <sz val="8"/>
        <rFont val="Arial"/>
        <family val="34"/>
      </rPr>
      <t>Saw, Rock</t>
    </r>
  </si>
  <si>
    <r>
      <rPr>
        <sz val="8"/>
        <rFont val="Arial"/>
        <family val="34"/>
      </rPr>
      <t>Scraper</t>
    </r>
  </si>
  <si>
    <r>
      <rPr>
        <sz val="8"/>
        <rFont val="Arial"/>
        <family val="34"/>
      </rPr>
      <t>Snow Blower</t>
    </r>
  </si>
  <si>
    <r>
      <rPr>
        <sz val="8"/>
        <rFont val="Arial"/>
        <family val="34"/>
      </rPr>
      <t>Snow Blower, Truck Mntd</t>
    </r>
  </si>
  <si>
    <r>
      <rPr>
        <sz val="8"/>
        <rFont val="Arial"/>
        <family val="34"/>
      </rPr>
      <t>Does not include Truck.</t>
    </r>
  </si>
  <si>
    <r>
      <rPr>
        <sz val="8"/>
        <rFont val="Arial"/>
        <family val="34"/>
      </rPr>
      <t xml:space="preserve">Snow Thrower, Walk
</t>
    </r>
    <r>
      <rPr>
        <sz val="8"/>
        <rFont val="Arial"/>
        <family val="34"/>
      </rPr>
      <t>Behind</t>
    </r>
  </si>
  <si>
    <r>
      <rPr>
        <sz val="8"/>
        <rFont val="Arial"/>
        <family val="34"/>
      </rPr>
      <t>Sprayer, Seed</t>
    </r>
  </si>
  <si>
    <r>
      <rPr>
        <sz val="8"/>
        <rFont val="Arial"/>
        <family val="34"/>
      </rPr>
      <t>Trailer &amp; Truck mounted. Does not include Prime Mover.</t>
    </r>
  </si>
  <si>
    <r>
      <rPr>
        <sz val="8"/>
        <rFont val="Arial"/>
        <family val="34"/>
      </rPr>
      <t>Spreader, Chemical</t>
    </r>
  </si>
  <si>
    <r>
      <rPr>
        <sz val="8"/>
        <rFont val="Arial"/>
        <family val="34"/>
      </rPr>
      <t>Trailer &amp; Truck mounted. Does not</t>
    </r>
  </si>
  <si>
    <r>
      <rPr>
        <sz val="8"/>
        <rFont val="Arial"/>
        <family val="34"/>
      </rPr>
      <t>Spreader, Chip</t>
    </r>
  </si>
  <si>
    <r>
      <rPr>
        <sz val="8"/>
        <rFont val="Arial"/>
        <family val="34"/>
      </rPr>
      <t>Spreader, Chip, Mntd</t>
    </r>
  </si>
  <si>
    <r>
      <rPr>
        <sz val="8"/>
        <rFont val="Arial"/>
        <family val="34"/>
      </rPr>
      <t>Trailer &amp; Truck mounted.</t>
    </r>
  </si>
  <si>
    <r>
      <rPr>
        <sz val="8"/>
        <rFont val="Arial"/>
        <family val="34"/>
      </rPr>
      <t>Spreader, Sand</t>
    </r>
  </si>
  <si>
    <r>
      <rPr>
        <sz val="8"/>
        <rFont val="Arial"/>
        <family val="34"/>
      </rPr>
      <t>Striper</t>
    </r>
  </si>
  <si>
    <r>
      <rPr>
        <sz val="8"/>
        <rFont val="Arial"/>
        <family val="34"/>
      </rPr>
      <t>Striper, Truck Mntd</t>
    </r>
  </si>
  <si>
    <r>
      <rPr>
        <sz val="8"/>
        <rFont val="Arial"/>
        <family val="34"/>
      </rPr>
      <t>Striper, Walk-behind</t>
    </r>
  </si>
  <si>
    <r>
      <rPr>
        <sz val="8"/>
        <rFont val="Arial"/>
        <family val="34"/>
      </rPr>
      <t>Sweeper, Pavement</t>
    </r>
  </si>
  <si>
    <r>
      <rPr>
        <sz val="8"/>
        <rFont val="Arial"/>
        <family val="34"/>
      </rPr>
      <t>Trailer, Dump</t>
    </r>
  </si>
  <si>
    <r>
      <rPr>
        <sz val="8"/>
        <rFont val="Arial"/>
        <family val="34"/>
      </rPr>
      <t>Trailer, Equipment</t>
    </r>
  </si>
  <si>
    <r>
      <rPr>
        <sz val="8"/>
        <rFont val="Arial"/>
        <family val="34"/>
      </rPr>
      <t>Trailer, Office</t>
    </r>
  </si>
  <si>
    <r>
      <rPr>
        <sz val="8"/>
        <rFont val="Arial"/>
        <family val="34"/>
      </rPr>
      <t>Trailer, Water</t>
    </r>
  </si>
  <si>
    <r>
      <rPr>
        <sz val="8"/>
        <rFont val="Arial"/>
        <family val="34"/>
      </rPr>
      <t>Includes a centrifugal pump with sump and a rear spraybar.</t>
    </r>
  </si>
  <si>
    <r>
      <rPr>
        <sz val="8"/>
        <rFont val="Arial"/>
        <family val="34"/>
      </rPr>
      <t>Trencher</t>
    </r>
  </si>
  <si>
    <r>
      <rPr>
        <sz val="8"/>
        <rFont val="Arial"/>
        <family val="34"/>
      </rPr>
      <t>Walk-behind, Crawler &amp; Wheel
Mounted. Chain and Wheel.</t>
    </r>
  </si>
  <si>
    <r>
      <rPr>
        <sz val="8"/>
        <rFont val="Arial"/>
        <family val="34"/>
      </rPr>
      <t>Trowel, Concrete</t>
    </r>
  </si>
  <si>
    <r>
      <rPr>
        <sz val="8"/>
        <rFont val="Arial"/>
        <family val="34"/>
      </rPr>
      <t>Truck, Concrete Mixer</t>
    </r>
  </si>
  <si>
    <r>
      <rPr>
        <sz val="8"/>
        <rFont val="Arial"/>
        <family val="34"/>
      </rPr>
      <t>Truck, Dump</t>
    </r>
  </si>
  <si>
    <r>
      <rPr>
        <sz val="8"/>
        <rFont val="Arial"/>
        <family val="34"/>
      </rPr>
      <t>Truck, Dump, Off</t>
    </r>
  </si>
  <si>
    <r>
      <rPr>
        <sz val="8"/>
        <rFont val="Arial"/>
        <family val="34"/>
      </rPr>
      <t>Truck, Fire</t>
    </r>
  </si>
  <si>
    <r>
      <rPr>
        <sz val="8"/>
        <rFont val="Arial"/>
        <family val="34"/>
      </rPr>
      <t>Truck, Fire Ladder</t>
    </r>
  </si>
  <si>
    <r>
      <rPr>
        <sz val="8"/>
        <rFont val="Arial"/>
        <family val="34"/>
      </rPr>
      <t>Truck, Flatbed</t>
    </r>
  </si>
  <si>
    <r>
      <rPr>
        <sz val="8"/>
        <rFont val="Arial"/>
        <family val="34"/>
      </rPr>
      <t>Truck, Garbage</t>
    </r>
  </si>
  <si>
    <t xml:space="preserve">$55.00
</t>
  </si>
  <si>
    <r>
      <rPr>
        <sz val="8"/>
        <rFont val="Arial"/>
        <family val="34"/>
      </rPr>
      <t>Truck, Pickup</t>
    </r>
  </si>
  <si>
    <r>
      <rPr>
        <sz val="8"/>
        <rFont val="Arial"/>
        <family val="34"/>
      </rPr>
      <t>Truck, Tractor</t>
    </r>
  </si>
  <si>
    <r>
      <rPr>
        <sz val="8"/>
        <rFont val="Arial"/>
        <family val="34"/>
      </rPr>
      <t>Truck, Water</t>
    </r>
  </si>
  <si>
    <r>
      <rPr>
        <sz val="8"/>
        <rFont val="Arial"/>
        <family val="34"/>
      </rPr>
      <t>Include pump and rear spray system.</t>
    </r>
  </si>
  <si>
    <r>
      <rPr>
        <sz val="8"/>
        <rFont val="Arial"/>
        <family val="34"/>
      </rPr>
      <t>Tub Grinder</t>
    </r>
  </si>
  <si>
    <r>
      <rPr>
        <sz val="8"/>
        <rFont val="Arial"/>
        <family val="34"/>
      </rPr>
      <t>Vehicle, Recreational</t>
    </r>
  </si>
  <si>
    <r>
      <rPr>
        <sz val="8"/>
        <rFont val="Arial"/>
        <family val="34"/>
      </rPr>
      <t>Vehicle, Small</t>
    </r>
  </si>
  <si>
    <r>
      <rPr>
        <sz val="8"/>
        <rFont val="Arial"/>
        <family val="34"/>
      </rPr>
      <t>Vibrator, Concrete</t>
    </r>
  </si>
  <si>
    <r>
      <rPr>
        <sz val="8"/>
        <rFont val="Arial"/>
        <family val="34"/>
      </rPr>
      <t>Welder, Portable</t>
    </r>
  </si>
  <si>
    <r>
      <rPr>
        <sz val="8"/>
        <rFont val="Arial"/>
        <family val="34"/>
      </rPr>
      <t>Includes ground cable and lead cable.</t>
    </r>
  </si>
  <si>
    <t>hour</t>
  </si>
  <si>
    <t>Welder, Portable</t>
  </si>
  <si>
    <t>Includes ground cable and lead cable.</t>
  </si>
  <si>
    <t>Category Summary</t>
  </si>
  <si>
    <t>TOTAL</t>
  </si>
  <si>
    <t>Through</t>
  </si>
  <si>
    <t>Prevailing damages restricting access proposes a threat to public health and safety</t>
  </si>
  <si>
    <t>Restricted access for emergency responder vehicles, public school transportation and local residence.</t>
  </si>
  <si>
    <t>Add flatbed truck to hydraulic digger derrick.</t>
  </si>
  <si>
    <t>Truck, Line</t>
  </si>
  <si>
    <t>Add flatbed truck to truck mounted aerial lift.</t>
  </si>
  <si>
    <t>Truck, Ladder</t>
  </si>
  <si>
    <t>Add flatbed truck to truck mounted crane.</t>
  </si>
  <si>
    <t>Truck, Knuckle Boom</t>
  </si>
  <si>
    <t>Add flatbed truck to sewer cleaner.</t>
  </si>
  <si>
    <t>Truck, Cleaning</t>
  </si>
  <si>
    <t>Truck, Bucket</t>
  </si>
  <si>
    <t>to 80</t>
  </si>
  <si>
    <t>Includes ground cable and lead cable</t>
  </si>
  <si>
    <t>to 50</t>
  </si>
  <si>
    <t>to 34</t>
  </si>
  <si>
    <t>to 16</t>
  </si>
  <si>
    <t>to 4</t>
  </si>
  <si>
    <t>Vibrator, Concrete</t>
  </si>
  <si>
    <t>to 30</t>
  </si>
  <si>
    <t>Vehicle, Small</t>
  </si>
  <si>
    <t>to 10</t>
  </si>
  <si>
    <t>Vehicle, Recreational</t>
  </si>
  <si>
    <t>to 1000</t>
  </si>
  <si>
    <t>Tub Grinder</t>
  </si>
  <si>
    <t>to 760</t>
  </si>
  <si>
    <t>to 630</t>
  </si>
  <si>
    <t>to 440</t>
  </si>
  <si>
    <t>4000 gal</t>
  </si>
  <si>
    <t>to 250</t>
  </si>
  <si>
    <t>Tank Capacity - Include pump and rear spray system</t>
  </si>
  <si>
    <t>Truck, Water</t>
  </si>
  <si>
    <t>2500 gal</t>
  </si>
  <si>
    <t>to 175</t>
  </si>
  <si>
    <t>50000 lb</t>
  </si>
  <si>
    <t>to 400</t>
  </si>
  <si>
    <t>6 x 4</t>
  </si>
  <si>
    <t>Truck, Tractor</t>
  </si>
  <si>
    <t>45000 lb</t>
  </si>
  <si>
    <t>to 310</t>
  </si>
  <si>
    <t>4 x 2</t>
  </si>
  <si>
    <t>30000 lb</t>
  </si>
  <si>
    <t>to 220</t>
  </si>
  <si>
    <t>1¾ ton</t>
  </si>
  <si>
    <t>Truck, Pickup</t>
  </si>
  <si>
    <t>1½ ton</t>
  </si>
  <si>
    <t>1¼ ton</t>
  </si>
  <si>
    <t>1 ton</t>
  </si>
  <si>
    <t>½ ton</t>
  </si>
  <si>
    <t>Transporting people</t>
  </si>
  <si>
    <t>mile</t>
  </si>
  <si>
    <t>32 CY</t>
  </si>
  <si>
    <t>to 325</t>
  </si>
  <si>
    <t>Capacity</t>
  </si>
  <si>
    <t>Truck, Garbage</t>
  </si>
  <si>
    <t>25 CY</t>
  </si>
  <si>
    <t>to 255</t>
  </si>
  <si>
    <t>to 380</t>
  </si>
  <si>
    <t>Maximum GVW</t>
  </si>
  <si>
    <t>Truck, Flatbed</t>
  </si>
  <si>
    <t>to 300</t>
  </si>
  <si>
    <t>25000 lb</t>
  </si>
  <si>
    <t>to 275</t>
  </si>
  <si>
    <t>15000 lb</t>
  </si>
  <si>
    <t>to 200</t>
  </si>
  <si>
    <t>150 ft</t>
  </si>
  <si>
    <t>Ladder length</t>
  </si>
  <si>
    <t>Truck, Fire Ladder</t>
  </si>
  <si>
    <t>75 ft</t>
  </si>
  <si>
    <t>2000 gpm</t>
  </si>
  <si>
    <t>Pump Capacity</t>
  </si>
  <si>
    <t>Truck, Fire</t>
  </si>
  <si>
    <t>1500 gpm</t>
  </si>
  <si>
    <t>1250 gpm</t>
  </si>
  <si>
    <t>1000 gpm</t>
  </si>
  <si>
    <t>28 CY</t>
  </si>
  <si>
    <t>to 450</t>
  </si>
  <si>
    <t>Struck Capacity</t>
  </si>
  <si>
    <t>Truck, Dump, Off Highway</t>
  </si>
  <si>
    <t>18 CY</t>
  </si>
  <si>
    <t>Truck, Dump</t>
  </si>
  <si>
    <t>12 CY</t>
  </si>
  <si>
    <t>10 CY</t>
  </si>
  <si>
    <t>to 320</t>
  </si>
  <si>
    <t>8 CY</t>
  </si>
  <si>
    <t>13 CY</t>
  </si>
  <si>
    <t>Mixer Capacity</t>
  </si>
  <si>
    <t>Truck, Concrete Mixer</t>
  </si>
  <si>
    <t>48 in</t>
  </si>
  <si>
    <t>to 12</t>
  </si>
  <si>
    <t>Diameter</t>
  </si>
  <si>
    <t>Trowel, Concrete</t>
  </si>
  <si>
    <t>to 85</t>
  </si>
  <si>
    <t>Walk-behind, Crawler &amp; Wheel Mounted. Chain and Wheel.</t>
  </si>
  <si>
    <t>Trencher</t>
  </si>
  <si>
    <t>to 40</t>
  </si>
  <si>
    <t>14000 gal</t>
  </si>
  <si>
    <t>Tank Capacity - Includes a centrifugal pump with sump and a rear spraybar.</t>
  </si>
  <si>
    <t>Trailer, Water</t>
  </si>
  <si>
    <t>10000 gal</t>
  </si>
  <si>
    <t>6000 gal</t>
  </si>
  <si>
    <t>10' x 32'</t>
  </si>
  <si>
    <t>Trailer Size</t>
  </si>
  <si>
    <t>Trailer, Office</t>
  </si>
  <si>
    <t>8' x 32'</t>
  </si>
  <si>
    <t>8' x 24'</t>
  </si>
  <si>
    <t>120 ton</t>
  </si>
  <si>
    <t>Trailer, Equipment</t>
  </si>
  <si>
    <t>60 ton</t>
  </si>
  <si>
    <t>40 ton</t>
  </si>
  <si>
    <t>30 ton</t>
  </si>
  <si>
    <t>30 CY</t>
  </si>
  <si>
    <t>Capacity - Does not include Prime Mover</t>
  </si>
  <si>
    <t>Trailer, Dump</t>
  </si>
  <si>
    <t>20 CY</t>
  </si>
  <si>
    <t>to 230</t>
  </si>
  <si>
    <t>Sweeper, Pavement</t>
  </si>
  <si>
    <t>to 110</t>
  </si>
  <si>
    <t>12 gal</t>
  </si>
  <si>
    <t>Paint Capacity</t>
  </si>
  <si>
    <t>Striper, Walk-behind</t>
  </si>
  <si>
    <t>120 gal</t>
  </si>
  <si>
    <t>to 460</t>
  </si>
  <si>
    <t>Striper, Truck Mntd</t>
  </si>
  <si>
    <t>to 122</t>
  </si>
  <si>
    <t>Striper</t>
  </si>
  <si>
    <t>90 gal</t>
  </si>
  <si>
    <t>to 60</t>
  </si>
  <si>
    <t>40 gal</t>
  </si>
  <si>
    <t>to 22</t>
  </si>
  <si>
    <t>Truck (10 yd)</t>
  </si>
  <si>
    <t>Mounting</t>
  </si>
  <si>
    <t>Spreader, Sand</t>
  </si>
  <si>
    <t>Dump Body</t>
  </si>
  <si>
    <t>Tailgate, Chassis</t>
  </si>
  <si>
    <t>8 ft</t>
  </si>
  <si>
    <t>to 8</t>
  </si>
  <si>
    <t>Hopper Size - Trailer &amp; Truck mounted</t>
  </si>
  <si>
    <t>Spreader, Chip, Mntd</t>
  </si>
  <si>
    <t>16.5 ft</t>
  </si>
  <si>
    <t>to 215</t>
  </si>
  <si>
    <t xml:space="preserve">Spread Hopper Width </t>
  </si>
  <si>
    <t>Spreader, Chip</t>
  </si>
  <si>
    <t>12.5 ft</t>
  </si>
  <si>
    <t>to 152</t>
  </si>
  <si>
    <t>5 CY</t>
  </si>
  <si>
    <t>Capacity - Trailer &amp; Truck mounted. Does not include Prime Mover.</t>
  </si>
  <si>
    <t>Spreader, Chemical</t>
  </si>
  <si>
    <t>3500 gal</t>
  </si>
  <si>
    <t>to 115</t>
  </si>
  <si>
    <t>Working Capacity - Trailer &amp; Truck mounted. Does not include Prime Mover.</t>
  </si>
  <si>
    <t>Sprayer, Seed</t>
  </si>
  <si>
    <t>1250 gal</t>
  </si>
  <si>
    <t>750 gal</t>
  </si>
  <si>
    <t>60 in</t>
  </si>
  <si>
    <t>to 15</t>
  </si>
  <si>
    <t>Cutting Width</t>
  </si>
  <si>
    <t>Snow Thrower, Walk Behind</t>
  </si>
  <si>
    <t>25 in</t>
  </si>
  <si>
    <t>to 5</t>
  </si>
  <si>
    <t>2500 tph</t>
  </si>
  <si>
    <t>Capacity - Does not include Truck</t>
  </si>
  <si>
    <t>Snow Blower, Truck Mntd</t>
  </si>
  <si>
    <t>2000 tph</t>
  </si>
  <si>
    <t>to 340</t>
  </si>
  <si>
    <t>1400 tph</t>
  </si>
  <si>
    <t>600 tph</t>
  </si>
  <si>
    <t>to 75</t>
  </si>
  <si>
    <t>3,500 tph</t>
  </si>
  <si>
    <t>to 600</t>
  </si>
  <si>
    <t>Snow Blower</t>
  </si>
  <si>
    <t>2,500 tph</t>
  </si>
  <si>
    <t>to 500</t>
  </si>
  <si>
    <t>2,000 tph</t>
  </si>
  <si>
    <t>44 CY</t>
  </si>
  <si>
    <t>Scraper Capacity</t>
  </si>
  <si>
    <t>Scraper</t>
  </si>
  <si>
    <t>34 CY</t>
  </si>
  <si>
    <t>to 475</t>
  </si>
  <si>
    <t>23 CY</t>
  </si>
  <si>
    <t>to 365</t>
  </si>
  <si>
    <t>16 CY</t>
  </si>
  <si>
    <t>Saw, Rock</t>
  </si>
  <si>
    <t>to 100</t>
  </si>
  <si>
    <t>to 65</t>
  </si>
  <si>
    <t>Blade Diameter</t>
  </si>
  <si>
    <t>Saw, Concrete</t>
  </si>
  <si>
    <t>26 in</t>
  </si>
  <si>
    <t>to 35</t>
  </si>
  <si>
    <t>14 in</t>
  </si>
  <si>
    <t>to 14</t>
  </si>
  <si>
    <t>to 650</t>
  </si>
  <si>
    <t>Does not include Hoses</t>
  </si>
  <si>
    <t>Pump</t>
  </si>
  <si>
    <t>to 575</t>
  </si>
  <si>
    <t>to 425</t>
  </si>
  <si>
    <t>to 350</t>
  </si>
  <si>
    <t>to 140</t>
  </si>
  <si>
    <t>to 95</t>
  </si>
  <si>
    <t>to 25</t>
  </si>
  <si>
    <t>to 6</t>
  </si>
  <si>
    <t>to 15 ft</t>
  </si>
  <si>
    <t>Width - With leveling wing. Add to Truck rate for total rate.</t>
  </si>
  <si>
    <t>Plow, Snow, Truck Mntd</t>
  </si>
  <si>
    <t>Width - Add to Grader for total rate</t>
  </si>
  <si>
    <t>to 14 ft</t>
  </si>
  <si>
    <t>Plow, Snow, Grader Mntd</t>
  </si>
  <si>
    <t>to 10 ft</t>
  </si>
  <si>
    <t>Plow Depth</t>
  </si>
  <si>
    <t>Plow, Cable</t>
  </si>
  <si>
    <t>36 in</t>
  </si>
  <si>
    <t>24 in</t>
  </si>
  <si>
    <t>Pick-up, Asphalt</t>
  </si>
  <si>
    <t>to 150</t>
  </si>
  <si>
    <t>Includes wheel and crawler equipment</t>
  </si>
  <si>
    <t>Paver, Asphalt</t>
  </si>
  <si>
    <t>to 125</t>
  </si>
  <si>
    <t>Does not include Prime Mover</t>
  </si>
  <si>
    <t>Paver, Asphalt, Towed</t>
  </si>
  <si>
    <t>20 tph</t>
  </si>
  <si>
    <t>to 120</t>
  </si>
  <si>
    <t>Working Capacity</t>
  </si>
  <si>
    <t>Mulcher, Trailer Mntd</t>
  </si>
  <si>
    <t>10 tph</t>
  </si>
  <si>
    <t>to 55</t>
  </si>
  <si>
    <t>7 tph</t>
  </si>
  <si>
    <t>Motorcycle, Police</t>
  </si>
  <si>
    <t>16 cft</t>
  </si>
  <si>
    <t>Batching Capacity</t>
  </si>
  <si>
    <t>Mixer, Concrete, Trailer Mntd</t>
  </si>
  <si>
    <t>11 cft</t>
  </si>
  <si>
    <t>12 cft</t>
  </si>
  <si>
    <t>Mixer, Concrete Portable</t>
  </si>
  <si>
    <t>10 cft</t>
  </si>
  <si>
    <t>1.75 CY</t>
  </si>
  <si>
    <t>Loader Bucket Capacity - Loader and Backhoe Buckets included.</t>
  </si>
  <si>
    <t>Loader-Backhoe, Wheel</t>
  </si>
  <si>
    <t>1.5 CY</t>
  </si>
  <si>
    <t>1 CY</t>
  </si>
  <si>
    <t>to 70</t>
  </si>
  <si>
    <t>0.5 CY</t>
  </si>
  <si>
    <t>to 530</t>
  </si>
  <si>
    <t>Bucket Capacity</t>
  </si>
  <si>
    <t>Loader, Wheel</t>
  </si>
  <si>
    <t>7 CY</t>
  </si>
  <si>
    <t>to 360</t>
  </si>
  <si>
    <t>6 CY</t>
  </si>
  <si>
    <t>to 305</t>
  </si>
  <si>
    <t>4 CY</t>
  </si>
  <si>
    <t>3 CY</t>
  </si>
  <si>
    <t>2 CY</t>
  </si>
  <si>
    <t>to 105</t>
  </si>
  <si>
    <t>to 38</t>
  </si>
  <si>
    <t>to 81</t>
  </si>
  <si>
    <t>Loader, Tractor, Wheel</t>
  </si>
  <si>
    <t>3000 lb</t>
  </si>
  <si>
    <t>Operating Capacity</t>
  </si>
  <si>
    <t>Loader, Skid-Steer</t>
  </si>
  <si>
    <t>2000 lb</t>
  </si>
  <si>
    <t>1000 lb</t>
  </si>
  <si>
    <t>to 238</t>
  </si>
  <si>
    <t>Bucket Capacity - Includes bucket</t>
  </si>
  <si>
    <t>Loader, Crawler</t>
  </si>
  <si>
    <t>to 178</t>
  </si>
  <si>
    <t>to 118</t>
  </si>
  <si>
    <t>to 32</t>
  </si>
  <si>
    <t>30-55 lb</t>
  </si>
  <si>
    <t>Weight Class</t>
  </si>
  <si>
    <t>Jackhammer (Wet)</t>
  </si>
  <si>
    <t>25-45 lb</t>
  </si>
  <si>
    <t>Jackhammer (Dry)</t>
  </si>
  <si>
    <t>16 in</t>
  </si>
  <si>
    <t>Diameter - Per 25 foot length. Includes couplings.</t>
  </si>
  <si>
    <t>Hose, Suction</t>
  </si>
  <si>
    <t>12 in</t>
  </si>
  <si>
    <t>8 in</t>
  </si>
  <si>
    <t>6 in</t>
  </si>
  <si>
    <t>4 in</t>
  </si>
  <si>
    <t>3 in</t>
  </si>
  <si>
    <t>Hose, Discharge</t>
  </si>
  <si>
    <t>14 ft</t>
  </si>
  <si>
    <t>to 225</t>
  </si>
  <si>
    <t>Moldboard Size - Includes Rigid and Articulate equipment.</t>
  </si>
  <si>
    <t>Graders</t>
  </si>
  <si>
    <t>12 ft</t>
  </si>
  <si>
    <t>10 ft</t>
  </si>
  <si>
    <t>2 person</t>
  </si>
  <si>
    <t>Golf Cart</t>
  </si>
  <si>
    <t>2500 kW</t>
  </si>
  <si>
    <t>to 3000</t>
  </si>
  <si>
    <t>Prime Output</t>
  </si>
  <si>
    <t>Generator</t>
  </si>
  <si>
    <t>1100 kW</t>
  </si>
  <si>
    <t>to 1500</t>
  </si>
  <si>
    <t>710 kW</t>
  </si>
  <si>
    <t>530 kW</t>
  </si>
  <si>
    <t>to 750</t>
  </si>
  <si>
    <t>350 kW</t>
  </si>
  <si>
    <t>280 kW</t>
  </si>
  <si>
    <t>210 kW</t>
  </si>
  <si>
    <t>150 kW</t>
  </si>
  <si>
    <t>to 240</t>
  </si>
  <si>
    <t>100 kW</t>
  </si>
  <si>
    <t>43 kW</t>
  </si>
  <si>
    <t>16 kW</t>
  </si>
  <si>
    <t>5.5 kW</t>
  </si>
  <si>
    <t>Fork Lift</t>
  </si>
  <si>
    <t>18000 lb</t>
  </si>
  <si>
    <t>12000 lb</t>
  </si>
  <si>
    <t>to 90</t>
  </si>
  <si>
    <t>6000 lb</t>
  </si>
  <si>
    <t>Feeder, Grizzly</t>
  </si>
  <si>
    <t>Bucket Capacity - Crawler, Truck &amp; Wheel. Includes bucket.</t>
  </si>
  <si>
    <t>Excavator, Hydraulic</t>
  </si>
  <si>
    <t>7.5 CY</t>
  </si>
  <si>
    <t>4.5 CY</t>
  </si>
  <si>
    <t>to 420</t>
  </si>
  <si>
    <t>2.5 CY</t>
  </si>
  <si>
    <t>to 265</t>
  </si>
  <si>
    <t>to 160</t>
  </si>
  <si>
    <t>1.0 CY</t>
  </si>
  <si>
    <t>to 45</t>
  </si>
  <si>
    <t>to 625</t>
  </si>
  <si>
    <t>Dozer, Wheel</t>
  </si>
  <si>
    <t>to 850</t>
  </si>
  <si>
    <t>Dozer, Crawler</t>
  </si>
  <si>
    <t>to 565</t>
  </si>
  <si>
    <t>Tank Capacity - Truck Mounted. Includes burners, insulated tank, and circulating spray bar. Add to Truck rate.</t>
  </si>
  <si>
    <t>Distributor, Asphalt</t>
  </si>
  <si>
    <t>1000 gal</t>
  </si>
  <si>
    <t>500 gal</t>
  </si>
  <si>
    <t>Tank Capacity - Trailer Mounted. Includes burners, insulated tank, and circulating spray bar.</t>
  </si>
  <si>
    <t>90 ft</t>
  </si>
  <si>
    <t>Max. Boom Length - Includes hydraulic pole alignment attachment. Add to Truck rate.</t>
  </si>
  <si>
    <t>Derrick, Hydraulic Digger</t>
  </si>
  <si>
    <t>60 ft</t>
  </si>
  <si>
    <t>to 245</t>
  </si>
  <si>
    <t>Cutter Size</t>
  </si>
  <si>
    <t>Cutter, Brush</t>
  </si>
  <si>
    <t>to 190</t>
  </si>
  <si>
    <t>60000 lb</t>
  </si>
  <si>
    <t>Max. Lift Capacity - Add to Truck rate for total rate.</t>
  </si>
  <si>
    <t>Crane, Truck Mntd</t>
  </si>
  <si>
    <t>36000 lb</t>
  </si>
  <si>
    <t>24000 lb</t>
  </si>
  <si>
    <t>110 MT</t>
  </si>
  <si>
    <t>Max. Lift Capacity</t>
  </si>
  <si>
    <t>Crane</t>
  </si>
  <si>
    <t>70 MT</t>
  </si>
  <si>
    <t>50 MT</t>
  </si>
  <si>
    <t>15 MT</t>
  </si>
  <si>
    <t>8 MT</t>
  </si>
  <si>
    <t>20000 lb</t>
  </si>
  <si>
    <t>Add to Prime Mover rate for total rate</t>
  </si>
  <si>
    <t>Compactor, Towed, Drum Static</t>
  </si>
  <si>
    <t>10000 lb</t>
  </si>
  <si>
    <t>Compactor, Towed, Pneumatic, Wheel</t>
  </si>
  <si>
    <t>to 535</t>
  </si>
  <si>
    <t>Compactor, Sanitation</t>
  </si>
  <si>
    <t>Compactor, Pneumatic, Wheel</t>
  </si>
  <si>
    <t>Compactor, Vibratory, Drum</t>
  </si>
  <si>
    <t>Compactor, Towed, Vibratory Drum</t>
  </si>
  <si>
    <t>Compactor</t>
  </si>
  <si>
    <t>14 CY</t>
  </si>
  <si>
    <t>Hopper Capacity - Truck Mounted. Add to Truck rate for total rate.</t>
  </si>
  <si>
    <t>Cleaner, Sewer/Catch Basin</t>
  </si>
  <si>
    <t>Bucket not included in rate</t>
  </si>
  <si>
    <t>Clamshell &amp; Dragline, Truck</t>
  </si>
  <si>
    <t>250,000 lb</t>
  </si>
  <si>
    <t>to 520</t>
  </si>
  <si>
    <t>Clamshell &amp; Dragline, Crawler</t>
  </si>
  <si>
    <t>149,999 lb</t>
  </si>
  <si>
    <t>to 235</t>
  </si>
  <si>
    <t>18 in</t>
  </si>
  <si>
    <t>Chipping Capacity - Trailer Mounted</t>
  </si>
  <si>
    <t>Chipper, Brush</t>
  </si>
  <si>
    <t>15 in</t>
  </si>
  <si>
    <t>9 in</t>
  </si>
  <si>
    <t>Bar Size</t>
  </si>
  <si>
    <t>Chain Saw, Pole</t>
  </si>
  <si>
    <t xml:space="preserve">Bar Length </t>
  </si>
  <si>
    <t>Chain Saw</t>
  </si>
  <si>
    <t>Bar Length</t>
  </si>
  <si>
    <t>Bus</t>
  </si>
  <si>
    <t>to 210</t>
  </si>
  <si>
    <t>Capacity - Does not include Clamshell &amp; Dragline.</t>
  </si>
  <si>
    <t>Bucket, Dragline</t>
  </si>
  <si>
    <t>5.0 CY</t>
  </si>
  <si>
    <t>2.0 CY</t>
  </si>
  <si>
    <t>Capacity - Includes teeth. Does not include Clamshell &amp; Dragline.</t>
  </si>
  <si>
    <t>Bucket, Clamshell</t>
  </si>
  <si>
    <t>84 in</t>
  </si>
  <si>
    <t>to 20</t>
  </si>
  <si>
    <t>Broom Length - Add to Prime Mover rate for total rate.</t>
  </si>
  <si>
    <t>Broom, Pavement, Pull</t>
  </si>
  <si>
    <t>72 in</t>
  </si>
  <si>
    <t>to 18</t>
  </si>
  <si>
    <t>Broom, Pavement, Mntd</t>
  </si>
  <si>
    <t>96 in</t>
  </si>
  <si>
    <t>Broom Length</t>
  </si>
  <si>
    <t>Broom, Pavement</t>
  </si>
  <si>
    <t>Breaker, Pavement</t>
  </si>
  <si>
    <t>25-90 lb</t>
  </si>
  <si>
    <t>Weight</t>
  </si>
  <si>
    <t>Breaker, Pavement, Hand-Held</t>
  </si>
  <si>
    <t>51 ft</t>
  </si>
  <si>
    <t>to 700</t>
  </si>
  <si>
    <t>Length</t>
  </si>
  <si>
    <t>Boat, Tug</t>
  </si>
  <si>
    <t>40 ft</t>
  </si>
  <si>
    <t>26 ft</t>
  </si>
  <si>
    <t>18 ft</t>
  </si>
  <si>
    <t>16 ft</t>
  </si>
  <si>
    <t>120'x34'x8'</t>
  </si>
  <si>
    <t>to 2000</t>
  </si>
  <si>
    <t>Size - Steel</t>
  </si>
  <si>
    <t>Boat, Tow</t>
  </si>
  <si>
    <t>70'x30'x7.5'</t>
  </si>
  <si>
    <t>to 1350</t>
  </si>
  <si>
    <t>60'x21'x5'</t>
  </si>
  <si>
    <t>to 1050</t>
  </si>
  <si>
    <t>55'x20'x5'</t>
  </si>
  <si>
    <t>to 870</t>
  </si>
  <si>
    <t>14'x7'</t>
  </si>
  <si>
    <t>Size - Inboard with 360 degree drive</t>
  </si>
  <si>
    <t>Boat, Tender</t>
  </si>
  <si>
    <t>13'x5'</t>
  </si>
  <si>
    <t>Size - Outboard</t>
  </si>
  <si>
    <t>Boat, Runabout</t>
  </si>
  <si>
    <t>Heavy duty</t>
  </si>
  <si>
    <t>Boat, Row</t>
  </si>
  <si>
    <t>64'x25'x8'</t>
  </si>
  <si>
    <t>Size - Flat hull</t>
  </si>
  <si>
    <t>Boat, Push</t>
  </si>
  <si>
    <t>58'x24'x7.5'</t>
  </si>
  <si>
    <t>to 705</t>
  </si>
  <si>
    <t>54'x21'x6'</t>
  </si>
  <si>
    <t>to 525</t>
  </si>
  <si>
    <t>45'x21'x6'</t>
  </si>
  <si>
    <t>to 435</t>
  </si>
  <si>
    <t>Trailer Mounted</t>
  </si>
  <si>
    <t>Board, Message</t>
  </si>
  <si>
    <t>Board, Arrow</t>
  </si>
  <si>
    <t>160'x45'x11'</t>
  </si>
  <si>
    <t>Size</t>
  </si>
  <si>
    <t>Barge, Deck</t>
  </si>
  <si>
    <t>120'x45'x10'</t>
  </si>
  <si>
    <t>50'x35'x9'</t>
  </si>
  <si>
    <t>50'x35'x7.25'</t>
  </si>
  <si>
    <t>Stationary with engine running</t>
  </si>
  <si>
    <t>Automobile, Police</t>
  </si>
  <si>
    <t>Patrolling</t>
  </si>
  <si>
    <t>to 130</t>
  </si>
  <si>
    <t>Transporting cargo</t>
  </si>
  <si>
    <t>Automobile</t>
  </si>
  <si>
    <t>Max. Auger Size - Includes digger, boom and mounting hardware. Add to Truck rate for total rate.</t>
  </si>
  <si>
    <t>Auger, Truck Mntd</t>
  </si>
  <si>
    <t>to 13</t>
  </si>
  <si>
    <t>Max. Auger Diameter - Includes digger, boom and mounting hardware. Add to Tractor rate for total rate.</t>
  </si>
  <si>
    <t>Auger, Tractor Mntd</t>
  </si>
  <si>
    <t>Hole Diameter</t>
  </si>
  <si>
    <t>Auger, Portable</t>
  </si>
  <si>
    <t>Ambulance</t>
  </si>
  <si>
    <t>1600 cfm</t>
  </si>
  <si>
    <t>Air Delivery - Hoses included</t>
  </si>
  <si>
    <t>Air Compressor</t>
  </si>
  <si>
    <t>1100 cfm</t>
  </si>
  <si>
    <t>to 355</t>
  </si>
  <si>
    <t>575 cfm</t>
  </si>
  <si>
    <t>400 cfm</t>
  </si>
  <si>
    <t>to 145</t>
  </si>
  <si>
    <t>175 cfm</t>
  </si>
  <si>
    <t>130 cfm</t>
  </si>
  <si>
    <t>103 cfm</t>
  </si>
  <si>
    <t>41 cfm</t>
  </si>
  <si>
    <t>100 ft</t>
  </si>
  <si>
    <t>Max. Platform Height - Articulated and Telescoping. Add to Truck rate for total rate.</t>
  </si>
  <si>
    <t>Aerial Lift, Truck Mntd</t>
  </si>
  <si>
    <t>80 ft</t>
  </si>
  <si>
    <t>61 ft</t>
  </si>
  <si>
    <t>Max. Platform Height - Articulated and Telescoping.</t>
  </si>
  <si>
    <t>Aerial Lift, Self-Propelled</t>
  </si>
  <si>
    <t>125 ft</t>
  </si>
  <si>
    <t>70 ft</t>
  </si>
  <si>
    <t>Max. Platform Height - Articulated, Telescoping, Scissor.</t>
  </si>
  <si>
    <t>37 ft</t>
  </si>
  <si>
    <t>BEGIN EQUIPMENT RATES HERE</t>
  </si>
  <si>
    <t>EA</t>
  </si>
  <si>
    <t>REPLACE LENS AND  COVER</t>
  </si>
  <si>
    <t>7539</t>
  </si>
  <si>
    <t>REPLACE BULB, 1500 WATT</t>
  </si>
  <si>
    <t>7538</t>
  </si>
  <si>
    <t>REALIGN 33 OR MORE LIGHTS PER POLE</t>
  </si>
  <si>
    <t>7537</t>
  </si>
  <si>
    <t>REALIGN 25 TO 32 LIGHTS PER POLE</t>
  </si>
  <si>
    <t>7536</t>
  </si>
  <si>
    <t>1/115/08</t>
  </si>
  <si>
    <t>REALIGN 17 TO 24 LIGHTS PER POLE</t>
  </si>
  <si>
    <t>7535</t>
  </si>
  <si>
    <t>REALIGN 13 TO 16 LIGHTS PER POLE</t>
  </si>
  <si>
    <t>7534</t>
  </si>
  <si>
    <t>REALIGN 9 TO 12 LIGHTS PER POLE</t>
  </si>
  <si>
    <t>7533</t>
  </si>
  <si>
    <t>REALIGN 5 TO 8 LIGHTS PER POLE</t>
  </si>
  <si>
    <t>7532</t>
  </si>
  <si>
    <t>REALIGN 1 TO 4 LIGHTS PER POLE</t>
  </si>
  <si>
    <t>7531</t>
  </si>
  <si>
    <t>GATE (CHAINLINK), 8'</t>
  </si>
  <si>
    <t>7323</t>
  </si>
  <si>
    <t>GATE (CHAINLINK), 6'</t>
  </si>
  <si>
    <t>7322</t>
  </si>
  <si>
    <t>GATE (CHAINLINK), 5'</t>
  </si>
  <si>
    <t>7321</t>
  </si>
  <si>
    <t>GATE (CHAINLINK), 10'</t>
  </si>
  <si>
    <t>7320</t>
  </si>
  <si>
    <t>LF</t>
  </si>
  <si>
    <t>FENCE TOP RAIL FOR CHAINLINK, 1 - 5/8"</t>
  </si>
  <si>
    <t>7319</t>
  </si>
  <si>
    <t>FENCE LINE POST 2 - 1/2"</t>
  </si>
  <si>
    <t>7317</t>
  </si>
  <si>
    <t>FENCE LINE POST 1 - 5/8"</t>
  </si>
  <si>
    <t>7316</t>
  </si>
  <si>
    <t>FENCE FABRIC, 4' HT</t>
  </si>
  <si>
    <t>7315</t>
  </si>
  <si>
    <t>FENCE (CHAINLINK) W/BARBED WIRE 6'</t>
  </si>
  <si>
    <t>7314</t>
  </si>
  <si>
    <t>FENCE (CHAINLINK), REPLACE 8'</t>
  </si>
  <si>
    <t>7313</t>
  </si>
  <si>
    <t>FENCE (CHAINLINK), REPLACE 6'</t>
  </si>
  <si>
    <t>7312</t>
  </si>
  <si>
    <t>FENCE (CHAINLINK), REPLACE 5'</t>
  </si>
  <si>
    <t>7311</t>
  </si>
  <si>
    <t>FENCE (CHAINLINK), REPLACE 4'</t>
  </si>
  <si>
    <t>7310</t>
  </si>
  <si>
    <t>FENCE (CHAINLINK), REPLACE 12'</t>
  </si>
  <si>
    <t>7309</t>
  </si>
  <si>
    <t>FENCE (CHAINLINK), REPLACE 10'</t>
  </si>
  <si>
    <t>7308</t>
  </si>
  <si>
    <t>FENCE (CHAINLINK), REPAIR 8'</t>
  </si>
  <si>
    <t>7307</t>
  </si>
  <si>
    <t>FENCE (CHAINLINK), REPAIR 6'</t>
  </si>
  <si>
    <t>7306</t>
  </si>
  <si>
    <t>FENCE (CHAINLINK),  REPAIR 5'</t>
  </si>
  <si>
    <t>7305</t>
  </si>
  <si>
    <t>FENCE (CHAINLINK), REPAIR 4'</t>
  </si>
  <si>
    <t>7304</t>
  </si>
  <si>
    <t>FENCE (CHAINLINK),  REPAIR 12'</t>
  </si>
  <si>
    <t>7303</t>
  </si>
  <si>
    <t>FENCE (CHAINLINK),  REPAIR 10'</t>
  </si>
  <si>
    <t>7302</t>
  </si>
  <si>
    <t>FENCE, BOARD 6'</t>
  </si>
  <si>
    <t>7301</t>
  </si>
  <si>
    <t>FENCE, BARBED WIRE 4 STRAND</t>
  </si>
  <si>
    <t>7300</t>
  </si>
  <si>
    <t>CY</t>
  </si>
  <si>
    <t>STONE DUST (FOR BASEBALL DIAMONDS)</t>
  </si>
  <si>
    <t>7220</t>
  </si>
  <si>
    <t>SF</t>
  </si>
  <si>
    <t>SIGNS  WOOD (ROUTERED LETTERS)</t>
  </si>
  <si>
    <t>7210</t>
  </si>
  <si>
    <t>SIGNS  WOOD (PAINTED LETTERS)</t>
  </si>
  <si>
    <t>7200</t>
  </si>
  <si>
    <t>PUMP OUT TOILET VAULTS</t>
  </si>
  <si>
    <t>7190</t>
  </si>
  <si>
    <t>POSTS  GUARD (4" WOOD) REPLACEMENT</t>
  </si>
  <si>
    <t>7180</t>
  </si>
  <si>
    <t>SY</t>
  </si>
  <si>
    <t>SOD REPLACEMENT</t>
  </si>
  <si>
    <t>7170</t>
  </si>
  <si>
    <t>DOCK  FLOATING (PREFAB)</t>
  </si>
  <si>
    <t>7160</t>
  </si>
  <si>
    <t>DOCK  WOOD PILE SUPPORT (2" DECK)</t>
  </si>
  <si>
    <t>7150</t>
  </si>
  <si>
    <t>GRILL  OUTDOOR  REPLACEMENT</t>
  </si>
  <si>
    <t>7140</t>
  </si>
  <si>
    <t>SLIDE (12' LONG  6' HIGH) REPLACEMENT</t>
  </si>
  <si>
    <t>7130</t>
  </si>
  <si>
    <t>SWING SET (8' HIGH  4 SEAT) REPLACEMENT</t>
  </si>
  <si>
    <t>7120</t>
  </si>
  <si>
    <t>TRASH BARREL REPLACEMENT</t>
  </si>
  <si>
    <t>7110</t>
  </si>
  <si>
    <t>BENCH  PARK (STEEL FRAME/WOOD 10') REPLACEMENT</t>
  </si>
  <si>
    <t>7101</t>
  </si>
  <si>
    <t>TABLES  PICNIC  REPLACEMENT</t>
  </si>
  <si>
    <t>7100</t>
  </si>
  <si>
    <t>FENCE  CHAIN LINK GATES (10')</t>
  </si>
  <si>
    <t>7093</t>
  </si>
  <si>
    <t>FENCE  CHAIN LINK GATES (8')</t>
  </si>
  <si>
    <t>7092</t>
  </si>
  <si>
    <t>FENCE  CHAIN LINK GATES (6')</t>
  </si>
  <si>
    <t>7091</t>
  </si>
  <si>
    <t>FENCE  CHAIN LINK GATES (5')</t>
  </si>
  <si>
    <t>7090</t>
  </si>
  <si>
    <t>FENCE REMOVAL</t>
  </si>
  <si>
    <t>7084</t>
  </si>
  <si>
    <t>FENCE  CHAIN LINK PERIMETER (10'), 2 3/8" LINE POSTS</t>
  </si>
  <si>
    <t>7083</t>
  </si>
  <si>
    <t>FENCE  CHAIN LINK PERIMETER (8'), 2 3/8" LINE POSTS</t>
  </si>
  <si>
    <t>7082</t>
  </si>
  <si>
    <t>FENCE  CHAIN LINK PERIMETER (6'), 2" LINE POSTS</t>
  </si>
  <si>
    <t>7081</t>
  </si>
  <si>
    <t>FENCE  CHAIN LINK PERIMETER (5'), 2" LINE POSTS</t>
  </si>
  <si>
    <t>7080</t>
  </si>
  <si>
    <t>BLEACHERS  GRANDSTAND  REPLACEMENT, MORE THAN 16 TIER, PER SEAT</t>
  </si>
  <si>
    <t>7070</t>
  </si>
  <si>
    <t>ROOF  (SMALL STRUCTURE) REPLACEMENT, INCLUDES FRAMING</t>
  </si>
  <si>
    <t>7060</t>
  </si>
  <si>
    <t>FENCE,  CHAIN LINK, TENNIS COURT, 12' HT</t>
  </si>
  <si>
    <t>7050</t>
  </si>
  <si>
    <t>BASEBALL BACKSTOP REPLACEMENT, COMPLETE</t>
  </si>
  <si>
    <t>7040</t>
  </si>
  <si>
    <t>FILL ROOT CRATERS</t>
  </si>
  <si>
    <t>7030</t>
  </si>
  <si>
    <t>SHRUBS (1 GAL)</t>
  </si>
  <si>
    <t>7021</t>
  </si>
  <si>
    <t>TREE (1 1/2" - 2 1/2") REPLACEMENT</t>
  </si>
  <si>
    <t>7020</t>
  </si>
  <si>
    <t>TOP SOIL AND SEEDING (HYDR.)</t>
  </si>
  <si>
    <t>7012</t>
  </si>
  <si>
    <t>AC</t>
  </si>
  <si>
    <t>RESEED GRASSLANDS  SCARIFY  FERTILIZE</t>
  </si>
  <si>
    <t>7011</t>
  </si>
  <si>
    <t>7010</t>
  </si>
  <si>
    <t>FIBER OPTIC CABLE</t>
  </si>
  <si>
    <t>6667</t>
  </si>
  <si>
    <t>TV CABLE</t>
  </si>
  <si>
    <t>6666</t>
  </si>
  <si>
    <t>PIPE, PVC, CLASS 200, 8"</t>
  </si>
  <si>
    <t>6437</t>
  </si>
  <si>
    <t>PIPE, PVC, CLASS 200, 6"</t>
  </si>
  <si>
    <t>6436</t>
  </si>
  <si>
    <t>PIPE, PVC, CLASS 200, 4"</t>
  </si>
  <si>
    <t>6435</t>
  </si>
  <si>
    <t>PIPE, PVC, CLASS 200, 2"</t>
  </si>
  <si>
    <t>6434</t>
  </si>
  <si>
    <t>PIPE, 36" PRESTRESS CONC (RIVER)</t>
  </si>
  <si>
    <t>6430</t>
  </si>
  <si>
    <t>PIPE, D. I., 18" FLX JT (RIVER)</t>
  </si>
  <si>
    <t>6420</t>
  </si>
  <si>
    <t>PIPE, D. I., 12" FLX JT (RIVER)</t>
  </si>
  <si>
    <t>6415</t>
  </si>
  <si>
    <t>PIPE, D. I., 4"  FLX JT (RIVER)</t>
  </si>
  <si>
    <t>6410</t>
  </si>
  <si>
    <t>PIPE, D. I., 8" ( MATERIAL ONLY)</t>
  </si>
  <si>
    <t>6402</t>
  </si>
  <si>
    <t>PIPE, D. I., 6" (MATERIAL ONLY)</t>
  </si>
  <si>
    <t>6401</t>
  </si>
  <si>
    <t>PIPE, D. I., 4" (MATERIAL ONLY)</t>
  </si>
  <si>
    <t>6400</t>
  </si>
  <si>
    <t>PUMP AND MOTOR REPAIR (15 HP)</t>
  </si>
  <si>
    <t>6353</t>
  </si>
  <si>
    <t>PUMP AND MOTOR REPAIR (10 HP)</t>
  </si>
  <si>
    <t>6352</t>
  </si>
  <si>
    <t>PUMP AND MOTOR REPAIR (5 HP)</t>
  </si>
  <si>
    <t>6351</t>
  </si>
  <si>
    <t>PUMP &amp; MOTOR REPAIR (2 HP)</t>
  </si>
  <si>
    <t>6350</t>
  </si>
  <si>
    <t>ELECTRICAL, SERVICE ENTRANCE; REPLACE</t>
  </si>
  <si>
    <t>6347</t>
  </si>
  <si>
    <t>ELECTRICAL, MAIN BREAKER PANEL; 100 AMPS; REPLACE</t>
  </si>
  <si>
    <t>6346</t>
  </si>
  <si>
    <t>ELECTRICAL, MAIN BREAKER PANEL, 220 AMPS; REPLACE</t>
  </si>
  <si>
    <t>6345</t>
  </si>
  <si>
    <t>ELECTRICAL, MAIN PANEL; CLEAN AND REPAIR</t>
  </si>
  <si>
    <t>6344</t>
  </si>
  <si>
    <t>ELECTRICAL WALL SWITCHES; REPLACE</t>
  </si>
  <si>
    <t>6343</t>
  </si>
  <si>
    <t>ELECTRICAL RECEPTACLE; 220V; REPLACE</t>
  </si>
  <si>
    <t>6342</t>
  </si>
  <si>
    <t>ELECTRICAL RECEPTACLE, DOUBLE; REPLACE</t>
  </si>
  <si>
    <t>6341</t>
  </si>
  <si>
    <t>ELECTRIC METERS (HOUSE)</t>
  </si>
  <si>
    <t>6340</t>
  </si>
  <si>
    <t>CROSS ARMS WITH HARDWARE (6')</t>
  </si>
  <si>
    <t>6332</t>
  </si>
  <si>
    <t>CROSS ARMS WITH HARDWARE (5')</t>
  </si>
  <si>
    <t>6331</t>
  </si>
  <si>
    <t>CROSS ARMS WITH HARDWARE (4')</t>
  </si>
  <si>
    <t>6330</t>
  </si>
  <si>
    <t>ELECTRIC MOTOR (60 HP) REMOVE, DRY AND REINSTALL</t>
  </si>
  <si>
    <t>6324</t>
  </si>
  <si>
    <t>ELECTRIC MOTOR (15 HP) REMOVE DRY AND REINSTALL</t>
  </si>
  <si>
    <t>6322</t>
  </si>
  <si>
    <t>ELECTRIC MOTOR (7 1/2 HP) REMOVE DRY AND REINSTALL</t>
  </si>
  <si>
    <t>6321</t>
  </si>
  <si>
    <t>ELECTRIC MOTOR (1/2 HP) REMOVE DRY AND REINSTALL</t>
  </si>
  <si>
    <t>6320</t>
  </si>
  <si>
    <t>TRANSFORMERS 25 KVA (COST)</t>
  </si>
  <si>
    <t>6312</t>
  </si>
  <si>
    <t>TRANSFORMERS 10 KVA (COST)</t>
  </si>
  <si>
    <t>6311</t>
  </si>
  <si>
    <t>TRANSFORMERS  5KVA (COST)</t>
  </si>
  <si>
    <t>6310</t>
  </si>
  <si>
    <t>POLE  ELECTRIC (45')</t>
  </si>
  <si>
    <t>6303</t>
  </si>
  <si>
    <t>POLE  ELECTRIC (40')</t>
  </si>
  <si>
    <t>6302</t>
  </si>
  <si>
    <t>POLE  ELECTRIC (35')</t>
  </si>
  <si>
    <t>6301</t>
  </si>
  <si>
    <t>POLE  ELECTRIC (30')</t>
  </si>
  <si>
    <t>6300</t>
  </si>
  <si>
    <t>BEDDING UNDER PIPE</t>
  </si>
  <si>
    <t>6290</t>
  </si>
  <si>
    <t>WATER MAIN (10")</t>
  </si>
  <si>
    <t>6280</t>
  </si>
  <si>
    <t>CONCRETE PAVEMENT (NO RE-BARS)</t>
  </si>
  <si>
    <t>6270</t>
  </si>
  <si>
    <t>NIN</t>
  </si>
  <si>
    <t>LS</t>
  </si>
  <si>
    <t>ANOTHER TEST CODE OF THE EMERGENCY SYSTEM</t>
  </si>
  <si>
    <t>6264</t>
  </si>
  <si>
    <t>BACKFILL, STRUCTURAL</t>
  </si>
  <si>
    <t>6210</t>
  </si>
  <si>
    <t>EXCAVATION, STRUCTURAL</t>
  </si>
  <si>
    <t>6200</t>
  </si>
  <si>
    <t>SEWER LINE REPAIR 24" CONCRETE (10' - 20' DEPTH)</t>
  </si>
  <si>
    <t>6191</t>
  </si>
  <si>
    <t>SEWER LINE REPAIR 24" CONCRETE (0 - 10' DEPTH)</t>
  </si>
  <si>
    <t>6190</t>
  </si>
  <si>
    <t>SEWER LINE REPAIR 18" CONCRETE (10' - 20' DEPTH)</t>
  </si>
  <si>
    <t>6181</t>
  </si>
  <si>
    <t>SEWER LINE REPAIR 18" CONCRETE (0 - 10' DEPTH)</t>
  </si>
  <si>
    <t>6180</t>
  </si>
  <si>
    <t>SEWER LINE REPAIR 15" CONCRETE (10' - 20' DEPTH)</t>
  </si>
  <si>
    <t>6171</t>
  </si>
  <si>
    <t>SEWER LINE REPAIR 15" CONCRETE (0 - 10' DEPTH)</t>
  </si>
  <si>
    <t>6170</t>
  </si>
  <si>
    <t>SEWER LINE REPAIR 12" CONCRETE (10' - 20' DEPTH)</t>
  </si>
  <si>
    <t>6161</t>
  </si>
  <si>
    <t>SEWER LINE REPAIR 12" CONCRETE (0 - 10' DEPTH)</t>
  </si>
  <si>
    <t>6160</t>
  </si>
  <si>
    <t>SEWER LINE REPAIR 10" CONCRETE (10' - 20' DEPTH)</t>
  </si>
  <si>
    <t>6151</t>
  </si>
  <si>
    <t>SEWER LINE REPAIR 10" CONCRETE (0 - 10' DEPTH)</t>
  </si>
  <si>
    <t>6150</t>
  </si>
  <si>
    <t>SEWER LINE REPAIR 8" CONCRETE (10' - 20' DEPTH)</t>
  </si>
  <si>
    <t>6141</t>
  </si>
  <si>
    <t>SEWER LINE REPAIR 8" CONCRETE (0 - 10' DEPTH)</t>
  </si>
  <si>
    <t>6140</t>
  </si>
  <si>
    <t>GATE VALVE (16")</t>
  </si>
  <si>
    <t>6133</t>
  </si>
  <si>
    <t>GATE VALVE (12")</t>
  </si>
  <si>
    <t>6132</t>
  </si>
  <si>
    <t>GATE VALVE (8")</t>
  </si>
  <si>
    <t>6131</t>
  </si>
  <si>
    <t>GATE VALVE (6")</t>
  </si>
  <si>
    <t>6130</t>
  </si>
  <si>
    <t>FIRE HYDRANT</t>
  </si>
  <si>
    <t>6120</t>
  </si>
  <si>
    <t>FIRE HYDRANT ADJUSTMENT</t>
  </si>
  <si>
    <t>6110</t>
  </si>
  <si>
    <t>WATER LINE  INDIVIDUAL - REMOVE AND REPLACE</t>
  </si>
  <si>
    <t>6100</t>
  </si>
  <si>
    <t>SEWER LINE MANHOLE (78")</t>
  </si>
  <si>
    <t>6092</t>
  </si>
  <si>
    <t>SEWER LINE MANHOLE (54")</t>
  </si>
  <si>
    <t>6091</t>
  </si>
  <si>
    <t>SEWER LINE MANHOLE (48")</t>
  </si>
  <si>
    <t>6090</t>
  </si>
  <si>
    <t>PILING  WOOD SHEET  LEFT IN PLACE (20' DEEP)</t>
  </si>
  <si>
    <t>6082</t>
  </si>
  <si>
    <t>PILING  WOOD SHEET  LEFT IN PLACE (16' DEEP)</t>
  </si>
  <si>
    <t>6081</t>
  </si>
  <si>
    <t>PILING  WOOD SHEET  LEFT IN PLACE (10' DEEP)</t>
  </si>
  <si>
    <t>6080</t>
  </si>
  <si>
    <t>PILING  STEEL SHEET  PULL &amp; SALVAGE (25' DEEP 38 PSF)</t>
  </si>
  <si>
    <t>6072</t>
  </si>
  <si>
    <t>PILING  STEEL SHEET  PULL &amp; SALVAGE (20' DEEP 27 PSF)</t>
  </si>
  <si>
    <t>6071</t>
  </si>
  <si>
    <t>PILING  STEEL SHEET  PULL &amp; SALVAGE (15' DEEP 22 PSF)</t>
  </si>
  <si>
    <t>6070</t>
  </si>
  <si>
    <t>DAY</t>
  </si>
  <si>
    <t>PUMPING  BY-PASS (DURING CONSTRUCTION)</t>
  </si>
  <si>
    <t>6060</t>
  </si>
  <si>
    <t>DEWATERING  DEEP WELL</t>
  </si>
  <si>
    <t>6050</t>
  </si>
  <si>
    <t>SEWER TAP (24")</t>
  </si>
  <si>
    <t>6043</t>
  </si>
  <si>
    <t>SEWER TAP (18")</t>
  </si>
  <si>
    <t>6042</t>
  </si>
  <si>
    <t>SEWER TAP (12")</t>
  </si>
  <si>
    <t>6041</t>
  </si>
  <si>
    <t>SEWER TAP (6")</t>
  </si>
  <si>
    <t>6040</t>
  </si>
  <si>
    <t>CATCH BASIN CLEANING</t>
  </si>
  <si>
    <t>6030</t>
  </si>
  <si>
    <t>TV INSPECT</t>
  </si>
  <si>
    <t>6020</t>
  </si>
  <si>
    <t>SEWER CLEANING (36" +)</t>
  </si>
  <si>
    <t>6012</t>
  </si>
  <si>
    <t>SEWER CLEANING (18" - 36")</t>
  </si>
  <si>
    <t>6011</t>
  </si>
  <si>
    <t>SEWER CLEANING (UNDER 18")</t>
  </si>
  <si>
    <t>6010</t>
  </si>
  <si>
    <t>RESTORE PREVIOUS INSURANCE REDUCTION</t>
  </si>
  <si>
    <t>5906</t>
  </si>
  <si>
    <t>DEDUCT ANTICIPATED FLOOD INSURANCE PROCEEDS - LS</t>
  </si>
  <si>
    <t>5905</t>
  </si>
  <si>
    <t>DEDUCT ACTUAL FLOOD INSURANCE PROCEEDS - LS</t>
  </si>
  <si>
    <t>5904</t>
  </si>
  <si>
    <t>PREVIOUS DISASTER INSURANCE PURCHASE REQUIREMENT - LS</t>
  </si>
  <si>
    <t>5903</t>
  </si>
  <si>
    <t>MANDATORY NFIP REDUCTION - MAXIMUM PROCEEDS AVAILABLE - LS</t>
  </si>
  <si>
    <t>5902</t>
  </si>
  <si>
    <t>DEDUCT ANTICIPATED INSURANCE PROCEEDS - LS</t>
  </si>
  <si>
    <t>5901</t>
  </si>
  <si>
    <t>DEDUCT ACTUAL INSURANCE PROCEEDS - LS</t>
  </si>
  <si>
    <t>5900</t>
  </si>
  <si>
    <t>DEPRECIATION, ELIGIBLE ITEMS</t>
  </si>
  <si>
    <t>5830</t>
  </si>
  <si>
    <t>ITEMS NOT COVERED UNDER FLOOD INSURANCE</t>
  </si>
  <si>
    <t>5820</t>
  </si>
  <si>
    <t>FLOOD INSURNACE DEDUCTIBLE</t>
  </si>
  <si>
    <t>5810</t>
  </si>
  <si>
    <t>DEDUCTION OF ESTIMATED DAMAGE AMOUNT</t>
  </si>
  <si>
    <t>5800</t>
  </si>
  <si>
    <t>LAPTOP COMPUTER</t>
  </si>
  <si>
    <t>5679</t>
  </si>
  <si>
    <t>TOILET &amp; TANK; REPLACE</t>
  </si>
  <si>
    <t>5381</t>
  </si>
  <si>
    <t>TOLIET &amp; TANK; RESET</t>
  </si>
  <si>
    <t>5380</t>
  </si>
  <si>
    <t>SKYLIGHT; REPLACE</t>
  </si>
  <si>
    <t>5370</t>
  </si>
  <si>
    <t>SINK, KITCHEN; REPLACE</t>
  </si>
  <si>
    <t>5363</t>
  </si>
  <si>
    <t>SINK, KITCHEN; REINSTALL</t>
  </si>
  <si>
    <t>5362</t>
  </si>
  <si>
    <t>SINK, BATHROOM; REMOVE &amp; REPLACE</t>
  </si>
  <si>
    <t>5361</t>
  </si>
  <si>
    <t>SINK, BATHROOM; REINSTALL</t>
  </si>
  <si>
    <t>5360</t>
  </si>
  <si>
    <t>PORCH ACCESS; FABRICATE, 4' X 4'</t>
  </si>
  <si>
    <t>5350</t>
  </si>
  <si>
    <t>FURNACE, HEATING; CLEAN &amp; REPAIR</t>
  </si>
  <si>
    <t>5340</t>
  </si>
  <si>
    <t>GUTTERS,  METAL 6"</t>
  </si>
  <si>
    <t>5334</t>
  </si>
  <si>
    <t>GUTTERS, METAL 4"</t>
  </si>
  <si>
    <t>5333</t>
  </si>
  <si>
    <t>GUTTER DRIP EDGE, METAL HEATER</t>
  </si>
  <si>
    <t>5332</t>
  </si>
  <si>
    <t>GUTTER, DOWNSPOUT, METAL 6"</t>
  </si>
  <si>
    <t>5331</t>
  </si>
  <si>
    <t>FREEZER REPLACEMENT</t>
  </si>
  <si>
    <t>5330</t>
  </si>
  <si>
    <t>REFRIGERATOR REPLACEMENT</t>
  </si>
  <si>
    <t>5320</t>
  </si>
  <si>
    <t>CHAIR REPLACEMENT</t>
  </si>
  <si>
    <t>5310</t>
  </si>
  <si>
    <t>FILING CABINET REPLACEMENT</t>
  </si>
  <si>
    <t>5300</t>
  </si>
  <si>
    <t>DUCTWORK; CLEAN &amp; SANITIZE</t>
  </si>
  <si>
    <t>5292</t>
  </si>
  <si>
    <t>DESK REPLACEMENT</t>
  </si>
  <si>
    <t>5290</t>
  </si>
  <si>
    <t>CABINET, VANITY; REPLACE</t>
  </si>
  <si>
    <t>5287</t>
  </si>
  <si>
    <t>CABINETS; BASE; REPLACE</t>
  </si>
  <si>
    <t>5286</t>
  </si>
  <si>
    <t>CABINETS, WALL; REPLACE</t>
  </si>
  <si>
    <t>5285</t>
  </si>
  <si>
    <t>BATHTUB; REPLACE</t>
  </si>
  <si>
    <t>5284</t>
  </si>
  <si>
    <t>BATHTUB; RESET</t>
  </si>
  <si>
    <t>5283</t>
  </si>
  <si>
    <t>AIR CONDITIONER UP TO 3000 SF; RESIDENCE</t>
  </si>
  <si>
    <t>5282</t>
  </si>
  <si>
    <t>AIR CONDITIONER;  CLEAN &amp; REPAIR</t>
  </si>
  <si>
    <t>5281</t>
  </si>
  <si>
    <t>TABLES CONFERENCE - REPLACEMENT</t>
  </si>
  <si>
    <t>5280</t>
  </si>
  <si>
    <t>WALL, CONCRETE</t>
  </si>
  <si>
    <t>5272</t>
  </si>
  <si>
    <t>WALL, COMMON</t>
  </si>
  <si>
    <t>5271</t>
  </si>
  <si>
    <t>TABLES  LAMINATED  REPLACEMENT</t>
  </si>
  <si>
    <t>5270</t>
  </si>
  <si>
    <t>INSULATION, REMOVE &amp; REPLACE</t>
  </si>
  <si>
    <t>5263</t>
  </si>
  <si>
    <t xml:space="preserve">INSULATION, R11, WALL, 4" </t>
  </si>
  <si>
    <t>5262</t>
  </si>
  <si>
    <t>INSULATION, BLOWN 6" THICK</t>
  </si>
  <si>
    <t>5261</t>
  </si>
  <si>
    <t>HOT WATER HEATER REPLACEMENT</t>
  </si>
  <si>
    <t>5260</t>
  </si>
  <si>
    <t>PAINTING  EXTERIOR</t>
  </si>
  <si>
    <t>5251</t>
  </si>
  <si>
    <t>PAINTING  INTERIOR</t>
  </si>
  <si>
    <t>5250</t>
  </si>
  <si>
    <t>FLOOR  CONCRETE (6") REPLACE</t>
  </si>
  <si>
    <t>5241</t>
  </si>
  <si>
    <t>FLOOR  CONCRETE (4") REPLACE</t>
  </si>
  <si>
    <t>5240</t>
  </si>
  <si>
    <t>WINDOW, SCREEN, 36" X 27" (RESIDENTIAL)</t>
  </si>
  <si>
    <t>5237</t>
  </si>
  <si>
    <t>WINDOW, WIRE SCREEN, GALVANIZED</t>
  </si>
  <si>
    <t>5236</t>
  </si>
  <si>
    <t>WINDOW, WIRE SCREEN, COPPER</t>
  </si>
  <si>
    <t>5235</t>
  </si>
  <si>
    <t>WINDOW, WIRE SCREEN, ALUMINUM</t>
  </si>
  <si>
    <t>5234</t>
  </si>
  <si>
    <t>WINDOW, STORM</t>
  </si>
  <si>
    <t>5233</t>
  </si>
  <si>
    <t>WALL,  STUCCO</t>
  </si>
  <si>
    <t>5231</t>
  </si>
  <si>
    <t>MASONRY WALL (8") REPLACEMENT</t>
  </si>
  <si>
    <t>5230</t>
  </si>
  <si>
    <t>FLOOR TILE (VINYL) REPLACEMENT</t>
  </si>
  <si>
    <t>5220</t>
  </si>
  <si>
    <t>CARPET REPLACEMENT</t>
  </si>
  <si>
    <t>5210</t>
  </si>
  <si>
    <t>FLOOR, GYM, REPLACEMENT</t>
  </si>
  <si>
    <t>PURLINS,  WOOD 1" X 6"</t>
  </si>
  <si>
    <t>5193</t>
  </si>
  <si>
    <t>PLYWOOD SHEETING, 1/2"</t>
  </si>
  <si>
    <t>5192</t>
  </si>
  <si>
    <t>PATIO COVERS</t>
  </si>
  <si>
    <t>5191</t>
  </si>
  <si>
    <t>PANELING REPLACEMENT</t>
  </si>
  <si>
    <t>5190</t>
  </si>
  <si>
    <t>DRYWALL;  REMOVE &amp; REPLACE; FLOAT TAPE &amp; BED; PAINT 2 COATS</t>
  </si>
  <si>
    <t>5188</t>
  </si>
  <si>
    <t>DRYWALL, SEAL</t>
  </si>
  <si>
    <t>5187</t>
  </si>
  <si>
    <t>DRYWALL, REMOVAL (WALL)</t>
  </si>
  <si>
    <t>5186</t>
  </si>
  <si>
    <t>DRYWALL, REMOVAL (CEILING)</t>
  </si>
  <si>
    <t>5185</t>
  </si>
  <si>
    <t>DRYWALL, GYPSUM</t>
  </si>
  <si>
    <t>5184</t>
  </si>
  <si>
    <t>DRYWALL, REMOVAL</t>
  </si>
  <si>
    <t>5183</t>
  </si>
  <si>
    <t>DRYWALL, PAINT 2 COATS</t>
  </si>
  <si>
    <t>5182</t>
  </si>
  <si>
    <t>DRYWALL, ACCOUSTICAL SPRAY FINISH</t>
  </si>
  <si>
    <t>5181</t>
  </si>
  <si>
    <t>DRYWALL REPLACEMENT</t>
  </si>
  <si>
    <t>5180</t>
  </si>
  <si>
    <t>DOORS, SCREEN, ALUMINUM</t>
  </si>
  <si>
    <t>5173</t>
  </si>
  <si>
    <t>DOORS (OVERHEAD), 12' x 12' METAL</t>
  </si>
  <si>
    <t>5172</t>
  </si>
  <si>
    <t>DOORS (EXTERIOR) REPLACEMENT</t>
  </si>
  <si>
    <t>5171</t>
  </si>
  <si>
    <t>DOORS (INTERIOR) REPLACEMENT</t>
  </si>
  <si>
    <t>5170</t>
  </si>
  <si>
    <t>WINDOW REPLACEMENT</t>
  </si>
  <si>
    <t>5160</t>
  </si>
  <si>
    <t>FLOOR, PLYWOOD OVERLAY, 5/8"</t>
  </si>
  <si>
    <t>5152</t>
  </si>
  <si>
    <t>FLOOR, HARDWOOD; REPLACE</t>
  </si>
  <si>
    <t>5151</t>
  </si>
  <si>
    <t>FLOOR, WOOD; REPAIR (REFINISH)</t>
  </si>
  <si>
    <t>5150</t>
  </si>
  <si>
    <t>MOTOR REPAIR, ELECTRIC (60 HP), ALLOWANCE</t>
  </si>
  <si>
    <t>5144</t>
  </si>
  <si>
    <t>MOTOR REPAIR  ELECTRIC (30 HP), ALLOWANCE</t>
  </si>
  <si>
    <t>5143</t>
  </si>
  <si>
    <t>MOTOR REPAIR  ELECTRIC (16 HP), ALLOWANCE</t>
  </si>
  <si>
    <t>5142</t>
  </si>
  <si>
    <t>MOTOR REPAIR  ELECTRIC (7 1/2 HP), ALLOWANCE</t>
  </si>
  <si>
    <t>5141</t>
  </si>
  <si>
    <t>MOTOR REPAIR  ELECTRIC (1/2 HP), ALLOWANCE</t>
  </si>
  <si>
    <t>5140</t>
  </si>
  <si>
    <t>FURNITURE/METAL - CLEAN DISINFECT &amp; REPAIR</t>
  </si>
  <si>
    <t>5130</t>
  </si>
  <si>
    <t>CARPET  CLEANING</t>
  </si>
  <si>
    <t>5120</t>
  </si>
  <si>
    <t>MASONRY SURFACE  BRICK  STEAM CLEANING</t>
  </si>
  <si>
    <t>5110</t>
  </si>
  <si>
    <t>SIDING, VINYL</t>
  </si>
  <si>
    <t>5103</t>
  </si>
  <si>
    <t>SIDING, SOFFIT WOOD</t>
  </si>
  <si>
    <t>5102</t>
  </si>
  <si>
    <t>SIDING, SHIP LAP</t>
  </si>
  <si>
    <t>5101</t>
  </si>
  <si>
    <t>MASONRY SURFACE  BRICK  SANDBLAST CLEANING</t>
  </si>
  <si>
    <t>5100</t>
  </si>
  <si>
    <t>SIDING, FACIA BOARD</t>
  </si>
  <si>
    <t>5099</t>
  </si>
  <si>
    <t>SIDING, BOARD &amp; BATTEN</t>
  </si>
  <si>
    <t>5098</t>
  </si>
  <si>
    <t>SIDING, ALUMINUM (HORIZONTAL) 7"</t>
  </si>
  <si>
    <t>5097</t>
  </si>
  <si>
    <t>SQ</t>
  </si>
  <si>
    <t>SIDING, ALUMINUM</t>
  </si>
  <si>
    <t>5096</t>
  </si>
  <si>
    <t>SHINGLES, TERRACOTTA</t>
  </si>
  <si>
    <t>5095</t>
  </si>
  <si>
    <t>SHINGLES, SLATE (MANUFACTURED)</t>
  </si>
  <si>
    <t>5094</t>
  </si>
  <si>
    <t>SHINGLES, FIBERGLASS</t>
  </si>
  <si>
    <t>5093</t>
  </si>
  <si>
    <t>FLASHING, WALL</t>
  </si>
  <si>
    <t>5092</t>
  </si>
  <si>
    <t>FLASHING, VALLEY</t>
  </si>
  <si>
    <t>5091</t>
  </si>
  <si>
    <t>FLASHING REPLACEMENT</t>
  </si>
  <si>
    <t>5090</t>
  </si>
  <si>
    <t>SHINGLES, CEDAR</t>
  </si>
  <si>
    <t>5089</t>
  </si>
  <si>
    <t>ROOF VENTS, TURBINE 12' THROAT</t>
  </si>
  <si>
    <t>5087</t>
  </si>
  <si>
    <t>ROOF VENTS, TURBINE, 10' THROAT</t>
  </si>
  <si>
    <t>5086</t>
  </si>
  <si>
    <t>ROOF VENTS,  4" METAL ROUND</t>
  </si>
  <si>
    <t>5084</t>
  </si>
  <si>
    <t>DRYWALL, PLASTER REMOVAL</t>
  </si>
  <si>
    <t>5083</t>
  </si>
  <si>
    <t>5082</t>
  </si>
  <si>
    <t>ROOF VENTS, MUSHROOM (FOR BUILT-UP)</t>
  </si>
  <si>
    <t>5081</t>
  </si>
  <si>
    <r>
      <rPr>
        <sz val="8"/>
        <rFont val="Arial"/>
        <family val="2"/>
      </rPr>
      <t xml:space="preserve">100 </t>
    </r>
    <r>
      <rPr>
        <sz val="10"/>
        <rFont val="Arial"/>
        <family val="2"/>
      </rPr>
      <t>SQ</t>
    </r>
  </si>
  <si>
    <t>SHINGLES  ALPHALT  REPLACE</t>
  </si>
  <si>
    <t>5080</t>
  </si>
  <si>
    <t>ROOF DECKING, 1/2" PLYWOOD SHEATHING</t>
  </si>
  <si>
    <t>5079</t>
  </si>
  <si>
    <t>ROOF DECKING, 1"X 6"</t>
  </si>
  <si>
    <t>5078</t>
  </si>
  <si>
    <t>ROOF CAP, GALVANIZED</t>
  </si>
  <si>
    <t>5077</t>
  </si>
  <si>
    <t>ROOF, ROLL W/FLASHING</t>
  </si>
  <si>
    <t>5076</t>
  </si>
  <si>
    <t>ROOF, METAL CORRUGATED STEEL, GALVANIZED</t>
  </si>
  <si>
    <t>5075</t>
  </si>
  <si>
    <t>ROOF, FIBERGLASS CORRUGATED PANELS</t>
  </si>
  <si>
    <t>5074</t>
  </si>
  <si>
    <t>ROOF, BUILT-UP 4-PLY</t>
  </si>
  <si>
    <t>5073</t>
  </si>
  <si>
    <t>ROOF, BUILT-UP, 4-PLY W/INSULATION</t>
  </si>
  <si>
    <t>5072</t>
  </si>
  <si>
    <t>ROOF BUILT-UP, 3-PLY W/GRAVEL</t>
  </si>
  <si>
    <t>5071</t>
  </si>
  <si>
    <t>ROOF  BUILT UP  REPLACE</t>
  </si>
  <si>
    <t>5070</t>
  </si>
  <si>
    <t>FLOOR  TILE  REMOVE AND REPLACE</t>
  </si>
  <si>
    <t>5060</t>
  </si>
  <si>
    <t>FLOOR  VINYL BASE  REMOVE AND REPLACE</t>
  </si>
  <si>
    <t>5050</t>
  </si>
  <si>
    <t>MASONRY WALL (8") REMOVAL</t>
  </si>
  <si>
    <t>5040</t>
  </si>
  <si>
    <t>CELING TILE, W/SUSPENDED METAL SYSTEM</t>
  </si>
  <si>
    <t>5035</t>
  </si>
  <si>
    <t>CEILING TILE, ACCOUSTICAL, 2 X 4'</t>
  </si>
  <si>
    <t>5034</t>
  </si>
  <si>
    <t>CEILING TILE 12 X12" TACKED</t>
  </si>
  <si>
    <t>5033</t>
  </si>
  <si>
    <t>CELIING TILE, 12 X 12" GLUE</t>
  </si>
  <si>
    <t>5032</t>
  </si>
  <si>
    <t>CEILING, SUSPENSION SYSTEM (W/O TILE)</t>
  </si>
  <si>
    <t>5031</t>
  </si>
  <si>
    <t>CARPET REMOVAL</t>
  </si>
  <si>
    <t>5030</t>
  </si>
  <si>
    <t>FLOOR  TILE  REMOVAL</t>
  </si>
  <si>
    <t>5020</t>
  </si>
  <si>
    <t>DEBRIS - INTERIOR  REMOVAL AND WALL &amp; FLOOR CLEANING</t>
  </si>
  <si>
    <t>5010</t>
  </si>
  <si>
    <t>AUGERING (DRAIN TILE)</t>
  </si>
  <si>
    <t>4150</t>
  </si>
  <si>
    <t>AGGREGATE SURFACE MATERIAL</t>
  </si>
  <si>
    <t>4141</t>
  </si>
  <si>
    <t>TON</t>
  </si>
  <si>
    <t>RIP RAP  FABRIC FOR UNDER</t>
  </si>
  <si>
    <t>4130</t>
  </si>
  <si>
    <t>RIP RAP REPAIR OF FABRIC FILTER</t>
  </si>
  <si>
    <t>4120</t>
  </si>
  <si>
    <t>FILTER BLANKET (PEA GRAVEL)</t>
  </si>
  <si>
    <t>4110</t>
  </si>
  <si>
    <t>GABION BASKET REMOVAL</t>
  </si>
  <si>
    <t>4101</t>
  </si>
  <si>
    <t>ROCK &amp; WIRE BASKETS (GABIONS)</t>
  </si>
  <si>
    <t>4100</t>
  </si>
  <si>
    <t>CONCRETE CHANNEL LINING (REINFORCED)</t>
  </si>
  <si>
    <t>4090</t>
  </si>
  <si>
    <t>SLOPE PROTECTION (PLACED)</t>
  </si>
  <si>
    <t>4081</t>
  </si>
  <si>
    <t>RIP RAP (GROUTED)</t>
  </si>
  <si>
    <t>4080</t>
  </si>
  <si>
    <t>RIP RAP (DUMPED)</t>
  </si>
  <si>
    <t>4070</t>
  </si>
  <si>
    <t>CONCRETE (CLASS X)  REINFORCED</t>
  </si>
  <si>
    <t>4060</t>
  </si>
  <si>
    <t>CONCRETE REMOVAL, REINFORCED</t>
  </si>
  <si>
    <t>4050</t>
  </si>
  <si>
    <t>FILL (GRANULAR)</t>
  </si>
  <si>
    <t>4040</t>
  </si>
  <si>
    <t>$ 14.00</t>
  </si>
  <si>
    <t>FILL (COMPACTED CLAY)</t>
  </si>
  <si>
    <t>4030</t>
  </si>
  <si>
    <t>EXCAVATION (ONLY)</t>
  </si>
  <si>
    <t>4021</t>
  </si>
  <si>
    <t>LEVEE, GRADING, SEEDING, FERTLIZER</t>
  </si>
  <si>
    <t>4015</t>
  </si>
  <si>
    <t>SLOPE GRADING</t>
  </si>
  <si>
    <t>4011</t>
  </si>
  <si>
    <t>LEVEE, GRADING, SEEDING, FERTILIZE</t>
  </si>
  <si>
    <t>4010</t>
  </si>
  <si>
    <t>DEDUCT SALVAGE</t>
  </si>
  <si>
    <t>3910</t>
  </si>
  <si>
    <t>BRIDGE DECK SUPPORT  TEMPORARY</t>
  </si>
  <si>
    <t>3520</t>
  </si>
  <si>
    <t>ENGINEERING AND DESIGN SERVICES</t>
  </si>
  <si>
    <t>3510</t>
  </si>
  <si>
    <t>GUARD RAIL (ON BRIDGE)</t>
  </si>
  <si>
    <t>3412</t>
  </si>
  <si>
    <t>GUARD RAIL  STEEL PLATE BEAM  REMOVAL</t>
  </si>
  <si>
    <t>3411</t>
  </si>
  <si>
    <t>GUARD RAIL  STEEL PLATE BEAM</t>
  </si>
  <si>
    <t>3410</t>
  </si>
  <si>
    <t>SIGNING  PERMANENT (W/GALVANIZED POSTS)</t>
  </si>
  <si>
    <t>3400</t>
  </si>
  <si>
    <t>SEED, FERTILIZE &amp; WATER</t>
  </si>
  <si>
    <t>3392</t>
  </si>
  <si>
    <t>TOPSOIL AND SEEDING (4"), FERT. &amp; WATER</t>
  </si>
  <si>
    <t>3391</t>
  </si>
  <si>
    <t>TOPSOIL AND SEEDING (HYDR)</t>
  </si>
  <si>
    <t>3390</t>
  </si>
  <si>
    <t>RCP 60" END SECTIONS</t>
  </si>
  <si>
    <t>3387</t>
  </si>
  <si>
    <t>RCP 48" END SECTIONS</t>
  </si>
  <si>
    <t>3386</t>
  </si>
  <si>
    <t>RCP 36" END SECTIONS</t>
  </si>
  <si>
    <t>3385</t>
  </si>
  <si>
    <t>RCP 30" END SECTIONS</t>
  </si>
  <si>
    <t>3384</t>
  </si>
  <si>
    <t>RCP 24" END SECTIONS</t>
  </si>
  <si>
    <t>3383</t>
  </si>
  <si>
    <t>RCP 18" END SECTIONS</t>
  </si>
  <si>
    <t>3382</t>
  </si>
  <si>
    <t>RCP 15" END SECTIONS</t>
  </si>
  <si>
    <t>3381</t>
  </si>
  <si>
    <t>RCP 12" END SECTIONS</t>
  </si>
  <si>
    <t>3380</t>
  </si>
  <si>
    <t>RCP 108" (FURNISH AND INSTALL)</t>
  </si>
  <si>
    <t>3377</t>
  </si>
  <si>
    <t>RCP 96" (FURNISH AND INSTALL)</t>
  </si>
  <si>
    <t>3376</t>
  </si>
  <si>
    <t>RCP 84" (FURNISH AND INSTALL)</t>
  </si>
  <si>
    <t>3375</t>
  </si>
  <si>
    <t>RCP 72" (FURNISH AND INSTALL)</t>
  </si>
  <si>
    <t>3374</t>
  </si>
  <si>
    <t>RCP 60" (FURNISH AND INSTALL)</t>
  </si>
  <si>
    <t>3373</t>
  </si>
  <si>
    <t>RCP 54" (FURNISH AND INSTALL)</t>
  </si>
  <si>
    <t>3372</t>
  </si>
  <si>
    <t>RCP 42" (FURNISH AND INSTALL)</t>
  </si>
  <si>
    <t>3371</t>
  </si>
  <si>
    <t>RCP 36" (FURNISH AND INSTALL)</t>
  </si>
  <si>
    <t>3370</t>
  </si>
  <si>
    <t>RCP 30" (FURNISH AND INSTALL)</t>
  </si>
  <si>
    <t>3369</t>
  </si>
  <si>
    <t>RCP 24" (FURNISH AND INSTALL)</t>
  </si>
  <si>
    <t>3368</t>
  </si>
  <si>
    <t>RCP 18" (FURNISH AND INSTALL)</t>
  </si>
  <si>
    <t>3367</t>
  </si>
  <si>
    <t>RCP 12" (FURNISH AND INSTALL)</t>
  </si>
  <si>
    <t>3366</t>
  </si>
  <si>
    <t>CORRUGATED STRUCTURE PLATE PIPE ARCH (96")</t>
  </si>
  <si>
    <t>3365</t>
  </si>
  <si>
    <t>CMP 120" (FURNISH AND INSTALL)</t>
  </si>
  <si>
    <t>3364</t>
  </si>
  <si>
    <t>CMP 108" (FURNISH AND INSTALL)</t>
  </si>
  <si>
    <t>3363</t>
  </si>
  <si>
    <t>CMP 96" (FURNISH AND INSTALL)</t>
  </si>
  <si>
    <t>3362</t>
  </si>
  <si>
    <t>CMP 72" (FURNISH AND INSTALL)</t>
  </si>
  <si>
    <t>3361</t>
  </si>
  <si>
    <t>CMP 60" (FURNISH AND INSTALL)</t>
  </si>
  <si>
    <t>3360</t>
  </si>
  <si>
    <t>CMP 54" (FURNISH AND INSTALL)</t>
  </si>
  <si>
    <t>3359</t>
  </si>
  <si>
    <t>CMP 48" (FURNISH AND INSTALL)</t>
  </si>
  <si>
    <t>3358</t>
  </si>
  <si>
    <t>CMP 42" (FURNISH AND INSTALL)</t>
  </si>
  <si>
    <t>3357</t>
  </si>
  <si>
    <t>CMP 36" (FURNISH AND INSTALL)</t>
  </si>
  <si>
    <t>3356</t>
  </si>
  <si>
    <t>CMP 30" (FURNISH AND INSTALL)</t>
  </si>
  <si>
    <t>3355</t>
  </si>
  <si>
    <t>CMP 24" (FURNISH AND INSTALL)</t>
  </si>
  <si>
    <t>3354</t>
  </si>
  <si>
    <t>CMP 18" (FURNISH AND INSTALL)</t>
  </si>
  <si>
    <t>3353</t>
  </si>
  <si>
    <t>CMP 15" (FURNISH AND INSTALL)</t>
  </si>
  <si>
    <t>3352</t>
  </si>
  <si>
    <t>CMP 12" (FURNISH AND INSTALL)</t>
  </si>
  <si>
    <t>3351</t>
  </si>
  <si>
    <t>CMP 8" (FURNISH AND INSTALL)</t>
  </si>
  <si>
    <t>3350</t>
  </si>
  <si>
    <t>CULVERT, REMOVE AND DISPOSE, OVER 48"</t>
  </si>
  <si>
    <t>3343</t>
  </si>
  <si>
    <t>CULVERT, REMOVE, AND DISPOSE, UNDER 48"</t>
  </si>
  <si>
    <t>3342</t>
  </si>
  <si>
    <t>CULVERT, RELAY (SALVAGE, OVER 48")</t>
  </si>
  <si>
    <t>3341</t>
  </si>
  <si>
    <t>CULVERT  RELAY (SALVAGE 12" - 48")</t>
  </si>
  <si>
    <t>3340</t>
  </si>
  <si>
    <t>PILING (H-BEAM) USED</t>
  </si>
  <si>
    <t>3334</t>
  </si>
  <si>
    <t>PILING (H-BEAM) FURN. &amp; DR.</t>
  </si>
  <si>
    <t>3332</t>
  </si>
  <si>
    <t>PILING (STEEL SHEET) FURN. &amp; DR.</t>
  </si>
  <si>
    <t>3331</t>
  </si>
  <si>
    <t>PILING (TREATED TIMBER) FURN. &amp; DR.</t>
  </si>
  <si>
    <t>3330</t>
  </si>
  <si>
    <t>BEDDING MATERIAL (SELECT GRANULAR)</t>
  </si>
  <si>
    <t>3320</t>
  </si>
  <si>
    <t>BACKFILL  STRUCTURAL</t>
  </si>
  <si>
    <t>3310</t>
  </si>
  <si>
    <t>EXCAVATION  STRUCTURAL</t>
  </si>
  <si>
    <t>3300</t>
  </si>
  <si>
    <t>BRIDGE (STEEL AND TIMBER)</t>
  </si>
  <si>
    <t>3296</t>
  </si>
  <si>
    <t>BRIDGE RAILING (METAL OR TIMBER)</t>
  </si>
  <si>
    <t>3295</t>
  </si>
  <si>
    <t>BRIDGE RAILING (BRIDGE ITSELF)</t>
  </si>
  <si>
    <t>3294</t>
  </si>
  <si>
    <t>BRIDGE RAILING (APPROACH)</t>
  </si>
  <si>
    <t>3293</t>
  </si>
  <si>
    <t>BRIDGE  TREATED TIMBER  IN PLACE</t>
  </si>
  <si>
    <t>3292</t>
  </si>
  <si>
    <t>MBF</t>
  </si>
  <si>
    <t>TREATED TIMBER (IN PLACE)</t>
  </si>
  <si>
    <t>3291</t>
  </si>
  <si>
    <t>TREATED TIMBER (FOB)</t>
  </si>
  <si>
    <t>3290</t>
  </si>
  <si>
    <t>WINGWALL, TREATED TIMBER (WITH PILING)</t>
  </si>
  <si>
    <t>3289</t>
  </si>
  <si>
    <t>BRIDGE  WOOD AND BEAM  REMOVAL</t>
  </si>
  <si>
    <t>3280</t>
  </si>
  <si>
    <t>CONCRETE AND MASONRY REMOVAL (10 MI RT HAUL FOR DISPOSAL)</t>
  </si>
  <si>
    <t>3271</t>
  </si>
  <si>
    <t>BRIDGE AND BOX CULVERT REMOVAL (10 MI RT HAUL FOR DISPOSAL)</t>
  </si>
  <si>
    <t>3270</t>
  </si>
  <si>
    <t>ROCK WALL</t>
  </si>
  <si>
    <t>3261</t>
  </si>
  <si>
    <t>SLOPE PROTECTION  CONCRETE</t>
  </si>
  <si>
    <t>3260</t>
  </si>
  <si>
    <t>RIP RAP  BAGGED</t>
  </si>
  <si>
    <t>3252</t>
  </si>
  <si>
    <t>SLOPE PROTECTION  RIP RAP (DUMPED)</t>
  </si>
  <si>
    <t>3251</t>
  </si>
  <si>
    <t>SLOPE PROTECTION  RIP RAP</t>
  </si>
  <si>
    <t>3250</t>
  </si>
  <si>
    <t>BRIDGE  BEAM (WITH EXISTING ABUTMENT)</t>
  </si>
  <si>
    <t>3244</t>
  </si>
  <si>
    <t>BRIDGE  CONCRETE PRECAST (CHANNEL OVER 40')</t>
  </si>
  <si>
    <t>3243</t>
  </si>
  <si>
    <t>BRIDGE  CONCRETE PRECAST (CHANNEL UNDER 40')</t>
  </si>
  <si>
    <t>3242</t>
  </si>
  <si>
    <t>CONCRETE SLAB BRIDGE (VERTICAL ABUTMENT)</t>
  </si>
  <si>
    <t>3241</t>
  </si>
  <si>
    <t>CONCRETE SLAB BRIDGE (INTEGRAL ABUTMENT)</t>
  </si>
  <si>
    <t>3240</t>
  </si>
  <si>
    <t>CONCRETE BOX CULVERTS</t>
  </si>
  <si>
    <t>3230</t>
  </si>
  <si>
    <t>CONCRETE RETAINING WALLS (12")</t>
  </si>
  <si>
    <t>3220</t>
  </si>
  <si>
    <t>CONCRETE  CLASS A (STRUCTURAL)</t>
  </si>
  <si>
    <t>3215</t>
  </si>
  <si>
    <t>CONCRETE  CLASS X (INPLACE FORMED)</t>
  </si>
  <si>
    <t>3210</t>
  </si>
  <si>
    <t>CONCRETE PAVEMENT (MESH REINFORCEMENT)</t>
  </si>
  <si>
    <t>3200</t>
  </si>
  <si>
    <t>CONCRETE CURB AND GUTTER REMOVAL</t>
  </si>
  <si>
    <t>3190</t>
  </si>
  <si>
    <t>CONCRETE CURB AND GUTTER</t>
  </si>
  <si>
    <t>3180</t>
  </si>
  <si>
    <t>CONCRETE SIDEWALK REMOVAL</t>
  </si>
  <si>
    <t>3170</t>
  </si>
  <si>
    <t>CONCRETE SIDEWALK (4")</t>
  </si>
  <si>
    <t>3160</t>
  </si>
  <si>
    <t>PAVEMENT REMOVAL (CONCRETE)</t>
  </si>
  <si>
    <t>3152</t>
  </si>
  <si>
    <t>PAVEMENT REMOVAL ( ASPHALT)</t>
  </si>
  <si>
    <t>3151</t>
  </si>
  <si>
    <t>PAVEMENT REMOVAL</t>
  </si>
  <si>
    <t>3150</t>
  </si>
  <si>
    <t>BITUMINOUS CONCRETE SURFACE COURSE (IN PLACE)</t>
  </si>
  <si>
    <t>3131</t>
  </si>
  <si>
    <t>BITUMINOUS CONCRETE SURFACE CASE (MATERIAL ONLY)</t>
  </si>
  <si>
    <t>3130</t>
  </si>
  <si>
    <t>BITUMINOUS CONCRETE BINDER COURSE (IN PLACE)</t>
  </si>
  <si>
    <t>3121</t>
  </si>
  <si>
    <t>BITUMINOUS CONCRETE BINDER CASE (MATERIAL ONLY)</t>
  </si>
  <si>
    <t>3120</t>
  </si>
  <si>
    <t>OIL STAB. BASE (100 LBS/SY/IN)</t>
  </si>
  <si>
    <t>3113</t>
  </si>
  <si>
    <t>ASPHALT CONCRETE PAVEMENT (BLADED ON)</t>
  </si>
  <si>
    <t>3112</t>
  </si>
  <si>
    <t>SY/IN</t>
  </si>
  <si>
    <t>BITUMINOUS CONCRETE OVERLAY</t>
  </si>
  <si>
    <t>3110</t>
  </si>
  <si>
    <t>BITUMINOUS COLD PATCH (MATERIAL ONLY)</t>
  </si>
  <si>
    <t>3101</t>
  </si>
  <si>
    <t xml:space="preserve">BITUMINOUS COLD PATCH </t>
  </si>
  <si>
    <t>3100</t>
  </si>
  <si>
    <t>GRANULAR MATERIAL (CLAY GRAVEL)</t>
  </si>
  <si>
    <t>3092</t>
  </si>
  <si>
    <t>AGGREGATE BASE COURSE (UNDER BITUMINOUS SURFACE)</t>
  </si>
  <si>
    <t>3091</t>
  </si>
  <si>
    <t>3090</t>
  </si>
  <si>
    <t>AGGREGATE BASE COURSE (FLEX. BASE),(CRUSHED)</t>
  </si>
  <si>
    <t>3089</t>
  </si>
  <si>
    <t>AGGREGATE BASE COURSE (FLEX. BASE) (CRUSHED)</t>
  </si>
  <si>
    <t>3088</t>
  </si>
  <si>
    <t>REPROCESSED ASPHALT PAVEMENT (RAP)</t>
  </si>
  <si>
    <t>3084</t>
  </si>
  <si>
    <t>CHIP AND SEAL (TRIPLE)</t>
  </si>
  <si>
    <t>3082</t>
  </si>
  <si>
    <t>CHIP AND SEAL (DOUBLE)</t>
  </si>
  <si>
    <t>3081</t>
  </si>
  <si>
    <t>CHIP AND SEAL (SINGLE)</t>
  </si>
  <si>
    <t>3080</t>
  </si>
  <si>
    <t>GRADING/SHAPING UNPAVED ROADS</t>
  </si>
  <si>
    <t>3072</t>
  </si>
  <si>
    <t>MI</t>
  </si>
  <si>
    <t>DITCH GRADING /PULLING (BOTH SIDES)</t>
  </si>
  <si>
    <t>3071</t>
  </si>
  <si>
    <t>DITCH CLEANING &amp; SHAPING</t>
  </si>
  <si>
    <t>3070</t>
  </si>
  <si>
    <t>SCARIFY, RESHAPE AND COMPACT</t>
  </si>
  <si>
    <t>3062</t>
  </si>
  <si>
    <t>SCARIFYING</t>
  </si>
  <si>
    <t>3061</t>
  </si>
  <si>
    <t>GRADING (SUBGRADE SHAPING)</t>
  </si>
  <si>
    <t>3060</t>
  </si>
  <si>
    <t>ROCKFILL (ALT TO UNCLASSIFIED FILL)</t>
  </si>
  <si>
    <t>3051</t>
  </si>
  <si>
    <t>EXCAVATION &amp; BACKFILL (SMALL UNCLASSIFIED)</t>
  </si>
  <si>
    <t>3050</t>
  </si>
  <si>
    <t>BACKFILL (GRANULAR)</t>
  </si>
  <si>
    <t>3040</t>
  </si>
  <si>
    <t>LOCAL BORROW (MATERIAL ONLY)</t>
  </si>
  <si>
    <t>3030</t>
  </si>
  <si>
    <t>LIME STABILIZATION (6 INCH DEPTH)</t>
  </si>
  <si>
    <t>3023</t>
  </si>
  <si>
    <t>HAUL, ADDITIONAL TON MILE, PURCHASED-DELIVERED</t>
  </si>
  <si>
    <t>3022</t>
  </si>
  <si>
    <t>HAUL, ADDITIONAL YARD MILE, PURCHASED-DELIVERED</t>
  </si>
  <si>
    <t>3021</t>
  </si>
  <si>
    <t>FILL (UNCLASSIFIED)</t>
  </si>
  <si>
    <t>3020</t>
  </si>
  <si>
    <t>AGGREGATE SURFACE (SAME AS 3012 EXCEPT IN CY)</t>
  </si>
  <si>
    <t>SHELL SURFACE (7.75/TON)</t>
  </si>
  <si>
    <t>3015</t>
  </si>
  <si>
    <t>SHELL SURFACE COURSE (1650 LBS/CY)</t>
  </si>
  <si>
    <t>3014</t>
  </si>
  <si>
    <t>AGGREGATE SURFACE</t>
  </si>
  <si>
    <t>3013</t>
  </si>
  <si>
    <t>AGGREGATE SURFACE COURSE (RED DOG)</t>
  </si>
  <si>
    <t>3012</t>
  </si>
  <si>
    <t>AGGREGATE SURFACE COURSE</t>
  </si>
  <si>
    <t>3011</t>
  </si>
  <si>
    <t>3010</t>
  </si>
  <si>
    <t>HR</t>
  </si>
  <si>
    <t>TYING REBAR</t>
  </si>
  <si>
    <t>3000</t>
  </si>
  <si>
    <t>PUMP OPERATORS (AVG. OVERTIME)</t>
  </si>
  <si>
    <t>2113</t>
  </si>
  <si>
    <t>PUMP OPERATORS (AVG. REGULAR TIME)</t>
  </si>
  <si>
    <t>2112</t>
  </si>
  <si>
    <t>DEDUCT 3 YEAR AVERAGE PUMPING COST (SAME PERIOD)</t>
  </si>
  <si>
    <t>2111</t>
  </si>
  <si>
    <t>PUMP COST FOR EMERGENCY PHASE</t>
  </si>
  <si>
    <t>2110</t>
  </si>
  <si>
    <t>PUMPS (12")</t>
  </si>
  <si>
    <t>2095</t>
  </si>
  <si>
    <t>PUMPS (10")</t>
  </si>
  <si>
    <t>2094</t>
  </si>
  <si>
    <t>PUMPS (8")</t>
  </si>
  <si>
    <t>2093</t>
  </si>
  <si>
    <t>PUMPS (6")</t>
  </si>
  <si>
    <t>2092</t>
  </si>
  <si>
    <t>2091</t>
  </si>
  <si>
    <t>PUMPS (3")</t>
  </si>
  <si>
    <t>2090</t>
  </si>
  <si>
    <t>TOWING AND WINCHING  WRECKER TRUCK</t>
  </si>
  <si>
    <t>2080</t>
  </si>
  <si>
    <t>TOW VEHICLES</t>
  </si>
  <si>
    <t>2070</t>
  </si>
  <si>
    <t>LEVEE  EARTHEN</t>
  </si>
  <si>
    <t>2060</t>
  </si>
  <si>
    <t>LEVEE  EMERGENCY REPAIR (FILL)</t>
  </si>
  <si>
    <t>2050</t>
  </si>
  <si>
    <t>SANDBAGS  FILLED &amp; PLACED</t>
  </si>
  <si>
    <t>2045</t>
  </si>
  <si>
    <t>SAND (DELIVERED)</t>
  </si>
  <si>
    <t>2040</t>
  </si>
  <si>
    <t>SANDBAGS (PURCHASED)</t>
  </si>
  <si>
    <t>2030</t>
  </si>
  <si>
    <t>PLYWOOD SHEETING</t>
  </si>
  <si>
    <t>2025</t>
  </si>
  <si>
    <t>POLYETHYLENE</t>
  </si>
  <si>
    <t>2020</t>
  </si>
  <si>
    <t>TEMPORARY EMPLOYEE LABOR</t>
  </si>
  <si>
    <t>2012</t>
  </si>
  <si>
    <t>FIRE OVERTIME</t>
  </si>
  <si>
    <t>2011</t>
  </si>
  <si>
    <t>POLICE OVERTIME</t>
  </si>
  <si>
    <t>2010</t>
  </si>
  <si>
    <t>CF</t>
  </si>
  <si>
    <t>DEMOLITION (COMMERCIAL STRUCTURE)</t>
  </si>
  <si>
    <t>1121</t>
  </si>
  <si>
    <t>DEMOLITION (RESIDENTIAL STRUCTURE)</t>
  </si>
  <si>
    <t>1120</t>
  </si>
  <si>
    <t>DEDUCT APPLICANT'S SHARE (HAUL)</t>
  </si>
  <si>
    <t>1113</t>
  </si>
  <si>
    <t>DEDUCT APPLICANT'S SHARE (SPOIL BANK)</t>
  </si>
  <si>
    <t>1112</t>
  </si>
  <si>
    <t>DEBRIS (CHANNEL EXCAVATION AND HAUL)</t>
  </si>
  <si>
    <t>1111</t>
  </si>
  <si>
    <t>DEBRIS (CHANNEL EXCAVATION WITH SPOIL BANK)</t>
  </si>
  <si>
    <t>1110</t>
  </si>
  <si>
    <t>1100</t>
  </si>
  <si>
    <t>DEBRIS (EARTH FILL - LEVEE)</t>
  </si>
  <si>
    <t>1090</t>
  </si>
  <si>
    <t>DEBRIS (FLOATABLE ON LEVEE)</t>
  </si>
  <si>
    <t>1080</t>
  </si>
  <si>
    <t>DEBRIS (SANDBAGS - HAND LOAD)</t>
  </si>
  <si>
    <t>1071</t>
  </si>
  <si>
    <t>DEBRIS (SANDBAGS - MACHINE LOAD)</t>
  </si>
  <si>
    <t>1070</t>
  </si>
  <si>
    <t>DEBRIS CONTAINERS (W/O DUMP CHARGES) 50 CY PER PICKUP</t>
  </si>
  <si>
    <t>1067</t>
  </si>
  <si>
    <t>DEBRIS CONTAINERS (W/O DUMP CHARGES) 40 CY PER PICKUP</t>
  </si>
  <si>
    <t>1066</t>
  </si>
  <si>
    <t>DEBRIS CONTAINERS (W/O DUMP CHARGES) 30 CY PER PICKUP</t>
  </si>
  <si>
    <t>1065</t>
  </si>
  <si>
    <t>DEBRIS CONTAINERS (W/O DUMP CHARGES) 20 CY PER PICKUP</t>
  </si>
  <si>
    <t>1064</t>
  </si>
  <si>
    <t>DEBRIS CONTAINERS (W/O DUMP CHARGES) 8 CY PER PICKUP</t>
  </si>
  <si>
    <t>1063</t>
  </si>
  <si>
    <t>DEBRIS CONTAINERS (W/0 DUMP CHARGES) 4 CY PER PICKUP</t>
  </si>
  <si>
    <t>1062</t>
  </si>
  <si>
    <t>DEBRIS CONTAINERS (W/0 DUMP CHARGES) 3 CY PER PICKUP</t>
  </si>
  <si>
    <t>1061</t>
  </si>
  <si>
    <t>DEBRIS CONTAINERS (W/0 DUMP CHARGES) 2 CY PER PICKUP</t>
  </si>
  <si>
    <t>1060</t>
  </si>
  <si>
    <t>DUMP CHARGES (LANDFILL DISPOSAL)</t>
  </si>
  <si>
    <t>1052</t>
  </si>
  <si>
    <t>1051</t>
  </si>
  <si>
    <t>DUMP CHARGES (BURN - BURY)</t>
  </si>
  <si>
    <t>1050</t>
  </si>
  <si>
    <t>DEBRIS STUMPS REMOVAL (UPROOTED 37" DIAMETER AND OVER)</t>
  </si>
  <si>
    <t>1044</t>
  </si>
  <si>
    <t>DEBRIS STUMPS REMOVAL (UPROOTED 24"-36" DIAMETER)</t>
  </si>
  <si>
    <t>1043</t>
  </si>
  <si>
    <t>1042</t>
  </si>
  <si>
    <t>DEBRIS STUMPS REMOVAL (UPROOTED 19" - 36" DIAMETER)</t>
  </si>
  <si>
    <t>1041</t>
  </si>
  <si>
    <t>DEBRIS STUMPS REMOVAL (UPROOTED 8" - 18" DIAMETER)</t>
  </si>
  <si>
    <t>1040</t>
  </si>
  <si>
    <t>DEBRIS (TRES 37" DIAMATER AND ABOVE)</t>
  </si>
  <si>
    <t>1036</t>
  </si>
  <si>
    <t>DEBRIS TREES (BROKEN UPROOTED 19" - 36" DIAMATER)</t>
  </si>
  <si>
    <t>1035</t>
  </si>
  <si>
    <t>DEBRIS TREES (BROKEN UPROOTED 8" - 18" DIAMETER)</t>
  </si>
  <si>
    <t>1034</t>
  </si>
  <si>
    <t>DEBRIS (HAZORDOUS TREE LIMBS, Per Tree)</t>
  </si>
  <si>
    <t>1033</t>
  </si>
  <si>
    <t>DEBRIS, TREE,(BROKEN UPROOTED, &gt;37" DIAMETER)</t>
  </si>
  <si>
    <t>1032</t>
  </si>
  <si>
    <t>DEBRIS, TREE,(BROKEN UPROOTED, 19-36" DIAMETER)</t>
  </si>
  <si>
    <t>1031</t>
  </si>
  <si>
    <t>DEBRIS, TREE,(BROKEN UPROOTED, 8-18" DIAMETER)</t>
  </si>
  <si>
    <t>1030</t>
  </si>
  <si>
    <t>DEBRIS (WATERWAY STRUCTURE)</t>
  </si>
  <si>
    <t>1020</t>
  </si>
  <si>
    <t>DEBRIS (WINDBLOWN TREES ALONG RIGHT-OF-WAY (ROW) MAXIMUM DENSITY)</t>
  </si>
  <si>
    <t>1016</t>
  </si>
  <si>
    <t>DEBRIS (TREES &amp; LIMBS, SCATTERED)</t>
  </si>
  <si>
    <t>1015</t>
  </si>
  <si>
    <t>DEBRIS (TREES &amp; LIMBS, CONCENTRATED)</t>
  </si>
  <si>
    <t>1014</t>
  </si>
  <si>
    <t>DEBRIS (Personal Property Curb)</t>
  </si>
  <si>
    <t>1012</t>
  </si>
  <si>
    <t>DEBRIS (SEDIMENTS, SCATTERED)</t>
  </si>
  <si>
    <t>1011</t>
  </si>
  <si>
    <t>DEBRIS (SEDIMENTS, CONCENTRATED)</t>
  </si>
  <si>
    <t>1010</t>
  </si>
  <si>
    <t>1005</t>
  </si>
  <si>
    <t>1004</t>
  </si>
  <si>
    <t>1003</t>
  </si>
  <si>
    <t>1002</t>
  </si>
  <si>
    <t>1001</t>
  </si>
  <si>
    <t>MITIGATION</t>
  </si>
  <si>
    <t>0909</t>
  </si>
  <si>
    <t>Work to be Completed</t>
  </si>
  <si>
    <t>0000</t>
  </si>
  <si>
    <t>Work Completed</t>
  </si>
  <si>
    <t>DEDUCT ANTICIPATED FLOOD INSURANCE PROCEEDS</t>
  </si>
  <si>
    <t>$ 0.00</t>
  </si>
  <si>
    <t>DEDUCT ACTUAL FLOOD INSURANCE PROCEEDS</t>
  </si>
  <si>
    <t>PREVIOUS DISASTER INSURANCE PURCHASE REQUIREMENT</t>
  </si>
  <si>
    <t>MANDATORY NFIP REDUCTION - MAXIMUM PROCEEDS AVAILABLE</t>
  </si>
  <si>
    <t>INSURANCE PROCEEDS (ANTICIPATED)</t>
  </si>
  <si>
    <t>If the building is insured against the damage caused by the disaster, deduct the insurance proceeds from total damage.  Deductible is always eligible.</t>
  </si>
  <si>
    <t>CONTRACTUAL SERVICE</t>
  </si>
  <si>
    <t>CONTRACT LABOR</t>
  </si>
  <si>
    <t>DISPATCHER  OVERTIME</t>
  </si>
  <si>
    <t>POLICE  OVERTIME</t>
  </si>
  <si>
    <t>FIREFIGHTERS  OVERTIME</t>
  </si>
  <si>
    <t>EXTRA HIRE  W/PAYROLL ADDITIVES  OVERTIME</t>
  </si>
  <si>
    <t>EXTRA HIRE W/PAYROLL ADDITIVES  REGULAR TIME</t>
  </si>
  <si>
    <t>WORKING FOREMAN  OVERTIME</t>
  </si>
  <si>
    <t>WORKING FOREMAN  REGULAR TIME</t>
  </si>
  <si>
    <t>EQUIPMENT OPERATOR  OVERTIME</t>
  </si>
  <si>
    <t>EQUIPMENT OPERATOR  REGULAR TIME</t>
  </si>
  <si>
    <t>LABORER  OVERTIME</t>
  </si>
  <si>
    <t>LABORER  REGULAR TIME</t>
  </si>
  <si>
    <t>MATERIAL</t>
  </si>
  <si>
    <t>EQUIPMENT</t>
  </si>
  <si>
    <t>LABOR</t>
  </si>
  <si>
    <t>LABOR, W/O BENEFITS</t>
  </si>
  <si>
    <t>LABOR, O/T W/O BENEFITS</t>
  </si>
  <si>
    <t>RENTED EQUIPMENT</t>
  </si>
  <si>
    <t>CONTRACT COSTS</t>
  </si>
  <si>
    <t>CONTRACT</t>
  </si>
  <si>
    <t>CEF COST ESTIMATE</t>
  </si>
  <si>
    <t>406 MITIGATION</t>
  </si>
  <si>
    <t>WORK TO BE COMPLETED</t>
  </si>
  <si>
    <t>WORK COMPLETED</t>
  </si>
  <si>
    <t>dtl_desc</t>
  </si>
  <si>
    <t>unit_price</t>
  </si>
  <si>
    <t>uom</t>
  </si>
  <si>
    <t>cd_desc</t>
  </si>
  <si>
    <t>cost_cd</t>
  </si>
  <si>
    <t>Date Updated</t>
  </si>
  <si>
    <t>HP</t>
  </si>
  <si>
    <t>Detailed Description</t>
  </si>
  <si>
    <t>Unit Price</t>
  </si>
  <si>
    <t>Cost Code Description</t>
  </si>
  <si>
    <t xml:space="preserve"> Insert the date the cost codes were updated:               </t>
  </si>
  <si>
    <t>femacode</t>
  </si>
  <si>
    <t>225-910-5272</t>
  </si>
  <si>
    <t>FEMA</t>
  </si>
  <si>
    <t>Vernon Lansford</t>
  </si>
  <si>
    <r>
      <rPr>
        <b/>
        <sz val="8"/>
        <rFont val="Arial"/>
        <family val="2"/>
      </rPr>
      <t>19.</t>
    </r>
    <r>
      <rPr>
        <sz val="8"/>
        <rFont val="Arial"/>
        <family val="2"/>
      </rPr>
      <t xml:space="preserve"> Pickup (8804) $19.90/HR</t>
    </r>
  </si>
  <si>
    <r>
      <rPr>
        <b/>
        <sz val="8"/>
        <rFont val="Arial"/>
        <family val="2"/>
      </rPr>
      <t>20.</t>
    </r>
    <r>
      <rPr>
        <sz val="8"/>
        <rFont val="Arial"/>
        <family val="2"/>
      </rPr>
      <t xml:space="preserve"> Trailer, 30 T (8600) $9.90/HR</t>
    </r>
  </si>
  <si>
    <r>
      <rPr>
        <b/>
        <sz val="8"/>
        <rFont val="Arial"/>
        <family val="2"/>
      </rPr>
      <t>21.</t>
    </r>
    <r>
      <rPr>
        <sz val="8"/>
        <rFont val="Arial"/>
        <family val="2"/>
      </rPr>
      <t xml:space="preserve"> Bus, Large (8182) $30.00/HR</t>
    </r>
  </si>
  <si>
    <r>
      <rPr>
        <b/>
        <sz val="8"/>
        <rFont val="Arial"/>
        <family val="2"/>
      </rPr>
      <t>22.</t>
    </r>
    <r>
      <rPr>
        <sz val="8"/>
        <rFont val="Arial"/>
        <family val="2"/>
      </rPr>
      <t xml:space="preserve"> Auto Police (8073) $14.35/HR</t>
    </r>
  </si>
  <si>
    <r>
      <rPr>
        <b/>
        <sz val="8"/>
        <rFont val="Arial"/>
        <family val="2"/>
      </rPr>
      <t>23.</t>
    </r>
    <r>
      <rPr>
        <sz val="8"/>
        <rFont val="Arial"/>
        <family val="2"/>
      </rPr>
      <t xml:space="preserve"> CMD Center (9999) $339/HR</t>
    </r>
  </si>
  <si>
    <r>
      <rPr>
        <b/>
        <sz val="8"/>
        <rFont val="Arial"/>
        <family val="2"/>
      </rPr>
      <t>24.</t>
    </r>
    <r>
      <rPr>
        <sz val="8"/>
        <rFont val="Arial"/>
        <family val="2"/>
      </rPr>
      <t xml:space="preserve"> Helo, Rescue (9999) $6277/HR</t>
    </r>
  </si>
  <si>
    <r>
      <rPr>
        <b/>
        <sz val="8"/>
        <rFont val="Arial"/>
        <family val="2"/>
      </rPr>
      <t>25.</t>
    </r>
    <r>
      <rPr>
        <sz val="8"/>
        <rFont val="Arial"/>
        <family val="2"/>
      </rPr>
      <t xml:space="preserve"> Boat RBS (9999) $323/HR</t>
    </r>
  </si>
  <si>
    <r>
      <rPr>
        <b/>
        <sz val="8"/>
        <rFont val="Arial"/>
        <family val="2"/>
      </rPr>
      <t>26.</t>
    </r>
    <r>
      <rPr>
        <sz val="8"/>
        <rFont val="Arial"/>
        <family val="2"/>
      </rPr>
      <t xml:space="preserve"> Boat Utility (9999) $980/HR</t>
    </r>
  </si>
  <si>
    <r>
      <rPr>
        <b/>
        <sz val="8"/>
        <rFont val="Arial"/>
        <family val="2"/>
      </rPr>
      <t>27.</t>
    </r>
    <r>
      <rPr>
        <sz val="8"/>
        <rFont val="Arial"/>
        <family val="2"/>
      </rPr>
      <t xml:space="preserve"> Person, Vol. (9999) $10/HR</t>
    </r>
  </si>
  <si>
    <r>
      <rPr>
        <b/>
        <sz val="8"/>
        <rFont val="Arial"/>
        <family val="2"/>
      </rPr>
      <t>28.</t>
    </r>
    <r>
      <rPr>
        <sz val="8"/>
        <rFont val="Arial"/>
        <family val="2"/>
      </rPr>
      <t xml:space="preserve"> Canine &amp; Handler (9999) $30/HR</t>
    </r>
  </si>
  <si>
    <t>ROADS</t>
  </si>
  <si>
    <t>Minor</t>
  </si>
  <si>
    <t>Contents</t>
  </si>
  <si>
    <t>Bosque</t>
  </si>
  <si>
    <t>Bosque County</t>
  </si>
  <si>
    <t>Tim Jeske</t>
  </si>
  <si>
    <t>254-230-6622</t>
  </si>
  <si>
    <t>City of Clifton</t>
  </si>
  <si>
    <t>Ashley Able</t>
  </si>
  <si>
    <t>254-675-8337</t>
  </si>
  <si>
    <t>White St starting at Ridgeview, South</t>
  </si>
  <si>
    <t xml:space="preserve">Dam/Weir complex </t>
  </si>
  <si>
    <t>CR-3105</t>
  </si>
  <si>
    <t>CR-1190 (Site 1)</t>
  </si>
  <si>
    <t>CR-1190 (Site 2)</t>
  </si>
  <si>
    <t>Chip and Seal roadway deteriorating after water sat on roadway for 12-21 days.</t>
  </si>
  <si>
    <t>CR-3660</t>
  </si>
  <si>
    <t>Bridge shoulder washed out.  Note, Applicant is not claiming the debris.  The 2 cmps and box culvert did not sustain any damage.</t>
  </si>
  <si>
    <t>Moderate</t>
  </si>
  <si>
    <t>Minor, inconvenience and hazard to motorist</t>
  </si>
  <si>
    <t>Low water crossing undermined during the event.</t>
  </si>
  <si>
    <t>Mountain Oak Circle</t>
  </si>
  <si>
    <t>13th St</t>
  </si>
  <si>
    <t>21st St</t>
  </si>
  <si>
    <t>City of Valley Mills</t>
  </si>
  <si>
    <t>Staging Site</t>
  </si>
  <si>
    <t>North end of 2nd Street</t>
  </si>
  <si>
    <t>Debris collected from Storm Event.  Applicant has minimal means of picking up and removing debris, thus cost will be on the higher side.  Estimated stack with 100 CY with more to be added.</t>
  </si>
  <si>
    <t>On Bosque River off of CR-3112</t>
  </si>
  <si>
    <t>High</t>
  </si>
  <si>
    <t>Additional loss of asphalt and road base from event.  Site previously damaged.</t>
  </si>
  <si>
    <t>Barricaded</t>
  </si>
  <si>
    <t>Minor inconvenience to motorist, base material only.</t>
  </si>
  <si>
    <t>Additional damage to road base from event.  Alligator cracking where there were none from earlier events.  Road base very soft, Heavy vehicles have fallen through.  Site previously damaged.</t>
  </si>
  <si>
    <t>Additional erosion of complex and loss of Large Rip Rap from the event.  Site damaged in Dr-4245-TX &amp; Dr-4269-TX.</t>
  </si>
  <si>
    <t>Culvert with headwall collapsed on downstream end of cmp.  Hand stacked headwall with concrete top.  Minor damage on inlet end of cmp.</t>
  </si>
</sst>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7" formatCode="&quot;$&quot;#,##0.00_);\(&quot;$&quot;#,##0.00\)"/>
    <numFmt numFmtId="8" formatCode="&quot;$&quot;#,##0.00_);[Red]\(&quot;$&quot;#,##0.00\)"/>
    <numFmt numFmtId="44" formatCode="_(&quot;$&quot;* #,##0.00_);_(&quot;$&quot;* \(#,##0.00\);_(&quot;$&quot;* &quot;-&quot;??_);_(@_)"/>
    <numFmt numFmtId="43" formatCode="_(* #,##0.00_);_(* \(#,##0.00\);_(* &quot;-&quot;??_);_(@_)"/>
    <numFmt numFmtId="164" formatCode="mm/dd/yy;@"/>
    <numFmt numFmtId="165" formatCode="[&lt;=9999999]###\-####;\(###\)\ ###\-####"/>
    <numFmt numFmtId="166" formatCode="&quot;$&quot;#,##0.00"/>
    <numFmt numFmtId="167" formatCode="&quot;$&quot;#,##0"/>
    <numFmt numFmtId="168" formatCode="#,##0;[Red]#,##0"/>
    <numFmt numFmtId="169" formatCode="0.00000"/>
    <numFmt numFmtId="170" formatCode="#,##0.0"/>
    <numFmt numFmtId="171" formatCode="###0;###0"/>
    <numFmt numFmtId="172" formatCode="\$###0.00;\$###0.00"/>
    <numFmt numFmtId="173" formatCode="#,##0;#,##0"/>
    <numFmt numFmtId="174" formatCode="[$-409]m/d/yy\ h:mm\ AM/PM;@"/>
    <numFmt numFmtId="175" formatCode="m/d/yy;@"/>
    <numFmt numFmtId="176" formatCode="[$-409]mmmm\ d\,\ yyyy;@"/>
  </numFmts>
  <fonts count="40">
    <font>
      <sz val="10"/>
      <name val="Arial"/>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b/>
      <sz val="8"/>
      <name val="Arial"/>
      <family val="2"/>
    </font>
    <font>
      <b/>
      <i/>
      <sz val="9"/>
      <name val="Arial"/>
      <family val="2"/>
    </font>
    <font>
      <sz val="7"/>
      <name val="Arial"/>
      <family val="2"/>
    </font>
    <font>
      <b/>
      <sz val="7"/>
      <name val="Arial"/>
      <family val="2"/>
    </font>
    <font>
      <b/>
      <sz val="9"/>
      <name val="Arial"/>
      <family val="2"/>
    </font>
    <font>
      <sz val="10"/>
      <name val="Arial"/>
      <family val="2"/>
    </font>
    <font>
      <sz val="8"/>
      <name val="Arial"/>
      <family val="2"/>
    </font>
    <font>
      <b/>
      <i/>
      <sz val="8"/>
      <name val="Arial"/>
      <family val="2"/>
    </font>
    <font>
      <b/>
      <sz val="10"/>
      <name val="Arial"/>
      <family val="2"/>
    </font>
    <font>
      <b/>
      <sz val="18"/>
      <name val="Arial"/>
      <family val="2"/>
    </font>
    <font>
      <b/>
      <i/>
      <sz val="10"/>
      <color indexed="12"/>
      <name val="Arial"/>
      <family val="2"/>
    </font>
    <font>
      <i/>
      <sz val="8"/>
      <name val="Arial"/>
      <family val="2"/>
    </font>
    <font>
      <sz val="9"/>
      <name val="Arial"/>
      <family val="2"/>
    </font>
    <font>
      <b/>
      <i/>
      <sz val="10"/>
      <name val="Arial"/>
      <family val="2"/>
    </font>
    <font>
      <sz val="10"/>
      <color rgb="FF000000"/>
      <name val="Times New Roman"/>
      <family val="1"/>
    </font>
    <font>
      <b/>
      <sz val="10"/>
      <color rgb="FF000000"/>
      <name val="Times New Roman"/>
      <family val="1"/>
    </font>
    <font>
      <sz val="8"/>
      <color rgb="FF231F20"/>
      <name val="Arial"/>
      <family val="2"/>
    </font>
    <font>
      <sz val="8"/>
      <color rgb="FF231F20"/>
      <name val="Arial"/>
      <family val="34"/>
    </font>
    <font>
      <sz val="8"/>
      <color rgb="FF000000"/>
      <name val="Arial"/>
      <family val="2"/>
    </font>
    <font>
      <sz val="8"/>
      <name val="Arial"/>
      <family val="34"/>
    </font>
    <font>
      <sz val="7"/>
      <color rgb="FF000000"/>
      <name val="Arial"/>
      <family val="2"/>
    </font>
    <font>
      <sz val="8"/>
      <color rgb="FF000000"/>
      <name val="Times New Roman"/>
      <family val="1"/>
    </font>
    <font>
      <u/>
      <sz val="11"/>
      <color theme="10"/>
      <name val="Calibri"/>
      <family val="2"/>
    </font>
    <font>
      <sz val="11"/>
      <color theme="1"/>
      <name val="Calibri"/>
      <family val="2"/>
    </font>
    <font>
      <sz val="10"/>
      <color indexed="8"/>
      <name val="Arial"/>
      <family val="2"/>
    </font>
    <font>
      <b/>
      <sz val="12"/>
      <color rgb="FF000000"/>
      <name val="Calibri"/>
      <family val="2"/>
      <scheme val="minor"/>
    </font>
    <font>
      <b/>
      <sz val="11"/>
      <color theme="1"/>
      <name val="Calibri"/>
      <family val="2"/>
      <scheme val="minor"/>
    </font>
    <font>
      <sz val="10"/>
      <name val="Arial"/>
      <family val="2"/>
    </font>
    <font>
      <b/>
      <sz val="10"/>
      <color indexed="10"/>
      <name val="Arial"/>
      <family val="2"/>
    </font>
    <font>
      <sz val="11"/>
      <name val="Calibri"/>
      <family val="2"/>
      <scheme val="minor"/>
    </font>
    <font>
      <sz val="10"/>
      <name val="sansserif"/>
    </font>
    <font>
      <strike/>
      <sz val="10"/>
      <color rgb="FFC00000"/>
      <name val="Arial"/>
      <family val="2"/>
    </font>
    <font>
      <sz val="10"/>
      <color rgb="FFC00000"/>
      <name val="Arial"/>
      <family val="2"/>
    </font>
    <font>
      <b/>
      <i/>
      <sz val="10"/>
      <color indexed="10"/>
      <name val="Arial"/>
      <family val="2"/>
    </font>
    <font>
      <sz val="10"/>
      <color indexed="9"/>
      <name val="Arial"/>
      <family val="2"/>
    </font>
  </fonts>
  <fills count="12">
    <fill>
      <patternFill patternType="none"/>
    </fill>
    <fill>
      <patternFill patternType="gray125"/>
    </fill>
    <fill>
      <patternFill patternType="solid">
        <fgColor indexed="43"/>
        <bgColor indexed="64"/>
      </patternFill>
    </fill>
    <fill>
      <patternFill patternType="solid">
        <fgColor indexed="31"/>
        <bgColor indexed="64"/>
      </patternFill>
    </fill>
    <fill>
      <patternFill patternType="solid">
        <fgColor indexed="24"/>
        <bgColor indexed="64"/>
      </patternFill>
    </fill>
    <fill>
      <patternFill patternType="solid">
        <fgColor indexed="9"/>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FFFFFF"/>
      </patternFill>
    </fill>
    <fill>
      <patternFill patternType="solid">
        <fgColor theme="2" tint="-9.9948118533890809E-2"/>
        <bgColor indexed="64"/>
      </patternFill>
    </fill>
    <fill>
      <patternFill patternType="solid">
        <fgColor indexed="50"/>
        <bgColor indexed="64"/>
      </patternFill>
    </fill>
    <fill>
      <patternFill patternType="solid">
        <fgColor indexed="26"/>
        <bgColor indexed="64"/>
      </patternFill>
    </fill>
  </fills>
  <borders count="194">
    <border>
      <left/>
      <right/>
      <top/>
      <bottom/>
      <diagonal/>
    </border>
    <border>
      <left style="double">
        <color indexed="12"/>
      </left>
      <right style="thin">
        <color indexed="12"/>
      </right>
      <top style="hair">
        <color indexed="12"/>
      </top>
      <bottom style="hair">
        <color indexed="12"/>
      </bottom>
      <diagonal/>
    </border>
    <border>
      <left style="double">
        <color indexed="12"/>
      </left>
      <right style="thin">
        <color indexed="12"/>
      </right>
      <top style="hair">
        <color indexed="12"/>
      </top>
      <bottom style="thin">
        <color indexed="12"/>
      </bottom>
      <diagonal/>
    </border>
    <border>
      <left style="double">
        <color indexed="12"/>
      </left>
      <right style="thin">
        <color indexed="12"/>
      </right>
      <top style="thin">
        <color indexed="12"/>
      </top>
      <bottom style="hair">
        <color indexed="12"/>
      </bottom>
      <diagonal/>
    </border>
    <border>
      <left style="thin">
        <color indexed="12"/>
      </left>
      <right/>
      <top style="hair">
        <color indexed="12"/>
      </top>
      <bottom style="hair">
        <color indexed="12"/>
      </bottom>
      <diagonal/>
    </border>
    <border>
      <left style="thin">
        <color indexed="12"/>
      </left>
      <right/>
      <top style="hair">
        <color indexed="12"/>
      </top>
      <bottom style="thin">
        <color indexed="12"/>
      </bottom>
      <diagonal/>
    </border>
    <border>
      <left style="thin">
        <color indexed="12"/>
      </left>
      <right style="thin">
        <color indexed="12"/>
      </right>
      <top style="medium">
        <color indexed="12"/>
      </top>
      <bottom style="hair">
        <color indexed="12"/>
      </bottom>
      <diagonal/>
    </border>
    <border>
      <left style="medium">
        <color indexed="12"/>
      </left>
      <right/>
      <top/>
      <bottom/>
      <diagonal/>
    </border>
    <border>
      <left/>
      <right style="medium">
        <color indexed="12"/>
      </right>
      <top/>
      <bottom/>
      <diagonal/>
    </border>
    <border>
      <left style="medium">
        <color indexed="12"/>
      </left>
      <right/>
      <top/>
      <bottom style="medium">
        <color indexed="12"/>
      </bottom>
      <diagonal/>
    </border>
    <border>
      <left style="thin">
        <color indexed="12"/>
      </left>
      <right/>
      <top style="thin">
        <color indexed="12"/>
      </top>
      <bottom style="hair">
        <color indexed="12"/>
      </bottom>
      <diagonal/>
    </border>
    <border>
      <left style="thin">
        <color indexed="12"/>
      </left>
      <right style="double">
        <color indexed="12"/>
      </right>
      <top/>
      <bottom style="medium">
        <color indexed="12"/>
      </bottom>
      <diagonal/>
    </border>
    <border>
      <left/>
      <right style="thin">
        <color indexed="12"/>
      </right>
      <top/>
      <bottom style="medium">
        <color indexed="12"/>
      </bottom>
      <diagonal/>
    </border>
    <border>
      <left style="thin">
        <color indexed="12"/>
      </left>
      <right style="double">
        <color indexed="12"/>
      </right>
      <top style="thin">
        <color indexed="12"/>
      </top>
      <bottom style="hair">
        <color indexed="12"/>
      </bottom>
      <diagonal/>
    </border>
    <border>
      <left style="thin">
        <color indexed="12"/>
      </left>
      <right style="thin">
        <color indexed="12"/>
      </right>
      <top style="thin">
        <color indexed="12"/>
      </top>
      <bottom style="double">
        <color indexed="12"/>
      </bottom>
      <diagonal/>
    </border>
    <border>
      <left style="double">
        <color indexed="12"/>
      </left>
      <right style="thin">
        <color indexed="12"/>
      </right>
      <top style="thin">
        <color indexed="12"/>
      </top>
      <bottom style="double">
        <color indexed="12"/>
      </bottom>
      <diagonal/>
    </border>
    <border>
      <left style="thin">
        <color indexed="12"/>
      </left>
      <right style="double">
        <color indexed="12"/>
      </right>
      <top style="thin">
        <color indexed="12"/>
      </top>
      <bottom style="double">
        <color indexed="12"/>
      </bottom>
      <diagonal/>
    </border>
    <border>
      <left/>
      <right style="thin">
        <color indexed="12"/>
      </right>
      <top style="thin">
        <color indexed="12"/>
      </top>
      <bottom style="double">
        <color indexed="12"/>
      </bottom>
      <diagonal/>
    </border>
    <border>
      <left style="thin">
        <color indexed="12"/>
      </left>
      <right style="medium">
        <color indexed="12"/>
      </right>
      <top style="thin">
        <color indexed="12"/>
      </top>
      <bottom style="double">
        <color indexed="12"/>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12"/>
      </left>
      <right/>
      <top style="medium">
        <color indexed="12"/>
      </top>
      <bottom/>
      <diagonal/>
    </border>
    <border>
      <left/>
      <right/>
      <top style="medium">
        <color indexed="12"/>
      </top>
      <bottom/>
      <diagonal/>
    </border>
    <border>
      <left/>
      <right style="medium">
        <color indexed="12"/>
      </right>
      <top style="medium">
        <color indexed="12"/>
      </top>
      <bottom/>
      <diagonal/>
    </border>
    <border>
      <left style="medium">
        <color indexed="12"/>
      </left>
      <right/>
      <top style="thin">
        <color indexed="12"/>
      </top>
      <bottom/>
      <diagonal/>
    </border>
    <border>
      <left/>
      <right/>
      <top style="thin">
        <color indexed="12"/>
      </top>
      <bottom/>
      <diagonal/>
    </border>
    <border>
      <left/>
      <right style="medium">
        <color indexed="12"/>
      </right>
      <top style="thin">
        <color indexed="12"/>
      </top>
      <bottom/>
      <diagonal/>
    </border>
    <border>
      <left style="thin">
        <color indexed="12"/>
      </left>
      <right/>
      <top style="medium">
        <color indexed="12"/>
      </top>
      <bottom style="hair">
        <color indexed="12"/>
      </bottom>
      <diagonal/>
    </border>
    <border>
      <left style="thin">
        <color indexed="12"/>
      </left>
      <right/>
      <top/>
      <bottom/>
      <diagonal/>
    </border>
    <border>
      <left style="thin">
        <color indexed="12"/>
      </left>
      <right/>
      <top/>
      <bottom style="thin">
        <color indexed="12"/>
      </bottom>
      <diagonal/>
    </border>
    <border>
      <left style="thin">
        <color indexed="12"/>
      </left>
      <right/>
      <top style="thin">
        <color indexed="12"/>
      </top>
      <bottom/>
      <diagonal/>
    </border>
    <border>
      <left style="thin">
        <color indexed="12"/>
      </left>
      <right/>
      <top/>
      <bottom style="medium">
        <color indexed="12"/>
      </bottom>
      <diagonal/>
    </border>
    <border>
      <left/>
      <right/>
      <top style="medium">
        <color indexed="12"/>
      </top>
      <bottom style="hair">
        <color indexed="12"/>
      </bottom>
      <diagonal/>
    </border>
    <border>
      <left/>
      <right/>
      <top style="hair">
        <color indexed="12"/>
      </top>
      <bottom style="hair">
        <color indexed="12"/>
      </bottom>
      <diagonal/>
    </border>
    <border>
      <left/>
      <right/>
      <top style="hair">
        <color indexed="12"/>
      </top>
      <bottom style="thin">
        <color indexed="12"/>
      </bottom>
      <diagonal/>
    </border>
    <border>
      <left/>
      <right/>
      <top style="thin">
        <color indexed="12"/>
      </top>
      <bottom style="hair">
        <color indexed="12"/>
      </bottom>
      <diagonal/>
    </border>
    <border>
      <left style="thin">
        <color indexed="12"/>
      </left>
      <right/>
      <top/>
      <bottom style="hair">
        <color indexed="12"/>
      </bottom>
      <diagonal/>
    </border>
    <border>
      <left/>
      <right/>
      <top/>
      <bottom style="hair">
        <color indexed="12"/>
      </bottom>
      <diagonal/>
    </border>
    <border>
      <left style="double">
        <color indexed="12"/>
      </left>
      <right style="thin">
        <color indexed="12"/>
      </right>
      <top/>
      <bottom style="hair">
        <color indexed="12"/>
      </bottom>
      <diagonal/>
    </border>
    <border>
      <left style="thin">
        <color indexed="12"/>
      </left>
      <right style="double">
        <color indexed="12"/>
      </right>
      <top/>
      <bottom/>
      <diagonal/>
    </border>
    <border>
      <left style="thin">
        <color indexed="12"/>
      </left>
      <right style="medium">
        <color indexed="12"/>
      </right>
      <top style="medium">
        <color indexed="12"/>
      </top>
      <bottom style="thin">
        <color indexed="12"/>
      </bottom>
      <diagonal/>
    </border>
    <border>
      <left/>
      <right style="medium">
        <color indexed="64"/>
      </right>
      <top style="thin">
        <color indexed="64"/>
      </top>
      <bottom/>
      <diagonal/>
    </border>
    <border>
      <left style="thin">
        <color indexed="12"/>
      </left>
      <right style="medium">
        <color indexed="12"/>
      </right>
      <top style="thin">
        <color indexed="12"/>
      </top>
      <bottom style="thin">
        <color indexed="12"/>
      </bottom>
      <diagonal/>
    </border>
    <border>
      <left style="thin">
        <color indexed="12"/>
      </left>
      <right style="medium">
        <color indexed="12"/>
      </right>
      <top style="thin">
        <color indexed="12"/>
      </top>
      <bottom style="medium">
        <color indexed="12"/>
      </bottom>
      <diagonal/>
    </border>
    <border>
      <left/>
      <right style="double">
        <color indexed="12"/>
      </right>
      <top style="hair">
        <color indexed="12"/>
      </top>
      <bottom style="thin">
        <color indexed="12"/>
      </bottom>
      <diagonal/>
    </border>
    <border>
      <left style="thin">
        <color indexed="12"/>
      </left>
      <right style="thin">
        <color indexed="12"/>
      </right>
      <top style="hair">
        <color indexed="12"/>
      </top>
      <bottom/>
      <diagonal/>
    </border>
    <border>
      <left style="thin">
        <color indexed="12"/>
      </left>
      <right/>
      <top style="hair">
        <color indexed="12"/>
      </top>
      <bottom/>
      <diagonal/>
    </border>
    <border>
      <left/>
      <right/>
      <top style="hair">
        <color indexed="12"/>
      </top>
      <bottom/>
      <diagonal/>
    </border>
    <border>
      <left style="medium">
        <color indexed="12"/>
      </left>
      <right/>
      <top/>
      <bottom style="thin">
        <color indexed="12"/>
      </bottom>
      <diagonal/>
    </border>
    <border>
      <left/>
      <right/>
      <top/>
      <bottom style="thin">
        <color indexed="12"/>
      </bottom>
      <diagonal/>
    </border>
    <border>
      <left/>
      <right style="medium">
        <color indexed="12"/>
      </right>
      <top/>
      <bottom style="medium">
        <color indexed="12"/>
      </bottom>
      <diagonal/>
    </border>
    <border>
      <left/>
      <right/>
      <top style="thin">
        <color indexed="12"/>
      </top>
      <bottom style="thin">
        <color indexed="12"/>
      </bottom>
      <diagonal/>
    </border>
    <border>
      <left style="medium">
        <color indexed="12"/>
      </left>
      <right style="thin">
        <color indexed="12"/>
      </right>
      <top style="medium">
        <color indexed="12"/>
      </top>
      <bottom style="hair">
        <color indexed="12"/>
      </bottom>
      <diagonal/>
    </border>
    <border>
      <left style="medium">
        <color indexed="12"/>
      </left>
      <right style="thin">
        <color indexed="12"/>
      </right>
      <top style="hair">
        <color indexed="12"/>
      </top>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12"/>
      </left>
      <right style="thin">
        <color indexed="12"/>
      </right>
      <top style="medium">
        <color indexed="12"/>
      </top>
      <bottom style="hair">
        <color indexed="12"/>
      </bottom>
      <diagonal/>
    </border>
    <border>
      <left style="double">
        <color indexed="12"/>
      </left>
      <right style="thin">
        <color indexed="12"/>
      </right>
      <top style="hair">
        <color indexed="12"/>
      </top>
      <bottom/>
      <diagonal/>
    </border>
    <border>
      <left/>
      <right style="thin">
        <color indexed="12"/>
      </right>
      <top style="thin">
        <color indexed="12"/>
      </top>
      <bottom style="hair">
        <color indexed="12"/>
      </bottom>
      <diagonal/>
    </border>
    <border>
      <left/>
      <right style="thin">
        <color indexed="12"/>
      </right>
      <top/>
      <bottom/>
      <diagonal/>
    </border>
    <border>
      <left/>
      <right style="thin">
        <color indexed="12"/>
      </right>
      <top style="thin">
        <color indexed="12"/>
      </top>
      <bottom style="thin">
        <color indexed="12"/>
      </bottom>
      <diagonal/>
    </border>
    <border>
      <left/>
      <right style="thin">
        <color indexed="12"/>
      </right>
      <top style="thin">
        <color indexed="12"/>
      </top>
      <bottom style="medium">
        <color indexed="12"/>
      </bottom>
      <diagonal/>
    </border>
    <border>
      <left style="double">
        <color indexed="12"/>
      </left>
      <right style="thin">
        <color indexed="12"/>
      </right>
      <top style="thin">
        <color indexed="12"/>
      </top>
      <bottom style="thin">
        <color indexed="12"/>
      </bottom>
      <diagonal/>
    </border>
    <border>
      <left style="thin">
        <color indexed="12"/>
      </left>
      <right style="thin">
        <color indexed="12"/>
      </right>
      <top/>
      <bottom style="hair">
        <color indexed="12"/>
      </bottom>
      <diagonal/>
    </border>
    <border>
      <left style="thin">
        <color indexed="12"/>
      </left>
      <right style="thin">
        <color indexed="12"/>
      </right>
      <top style="hair">
        <color indexed="12"/>
      </top>
      <bottom style="thin">
        <color indexed="12"/>
      </bottom>
      <diagonal/>
    </border>
    <border>
      <left style="thin">
        <color indexed="12"/>
      </left>
      <right style="thin">
        <color indexed="12"/>
      </right>
      <top style="thin">
        <color indexed="12"/>
      </top>
      <bottom style="hair">
        <color indexed="12"/>
      </bottom>
      <diagonal/>
    </border>
    <border>
      <left style="thin">
        <color indexed="12"/>
      </left>
      <right style="thin">
        <color indexed="12"/>
      </right>
      <top/>
      <bottom/>
      <diagonal/>
    </border>
    <border>
      <left style="thin">
        <color indexed="12"/>
      </left>
      <right style="thin">
        <color indexed="12"/>
      </right>
      <top/>
      <bottom style="medium">
        <color indexed="12"/>
      </bottom>
      <diagonal/>
    </border>
    <border>
      <left style="double">
        <color indexed="12"/>
      </left>
      <right style="thin">
        <color indexed="12"/>
      </right>
      <top style="medium">
        <color indexed="12"/>
      </top>
      <bottom style="thin">
        <color indexed="12"/>
      </bottom>
      <diagonal/>
    </border>
    <border>
      <left style="double">
        <color indexed="12"/>
      </left>
      <right/>
      <top style="double">
        <color indexed="12"/>
      </top>
      <bottom style="thin">
        <color indexed="12"/>
      </bottom>
      <diagonal/>
    </border>
    <border>
      <left style="thin">
        <color indexed="12"/>
      </left>
      <right style="medium">
        <color indexed="12"/>
      </right>
      <top style="double">
        <color indexed="12"/>
      </top>
      <bottom/>
      <diagonal/>
    </border>
    <border>
      <left style="thin">
        <color indexed="12"/>
      </left>
      <right/>
      <top style="thin">
        <color indexed="12"/>
      </top>
      <bottom style="medium">
        <color indexed="12"/>
      </bottom>
      <diagonal/>
    </border>
    <border>
      <left style="medium">
        <color indexed="12"/>
      </left>
      <right/>
      <top style="medium">
        <color indexed="12"/>
      </top>
      <bottom style="thin">
        <color indexed="12"/>
      </bottom>
      <diagonal/>
    </border>
    <border>
      <left/>
      <right/>
      <top style="medium">
        <color indexed="12"/>
      </top>
      <bottom style="thin">
        <color indexed="12"/>
      </bottom>
      <diagonal/>
    </border>
    <border>
      <left/>
      <right style="medium">
        <color indexed="12"/>
      </right>
      <top style="medium">
        <color indexed="12"/>
      </top>
      <bottom style="thin">
        <color indexed="12"/>
      </bottom>
      <diagonal/>
    </border>
    <border>
      <left/>
      <right/>
      <top/>
      <bottom style="medium">
        <color indexed="12"/>
      </bottom>
      <diagonal/>
    </border>
    <border>
      <left style="thin">
        <color indexed="12"/>
      </left>
      <right/>
      <top style="medium">
        <color indexed="12"/>
      </top>
      <bottom style="thin">
        <color indexed="12"/>
      </bottom>
      <diagonal/>
    </border>
    <border>
      <left/>
      <right style="thin">
        <color indexed="12"/>
      </right>
      <top style="medium">
        <color indexed="12"/>
      </top>
      <bottom style="thin">
        <color indexed="12"/>
      </bottom>
      <diagonal/>
    </border>
    <border>
      <left style="thin">
        <color indexed="12"/>
      </left>
      <right/>
      <top style="thin">
        <color indexed="12"/>
      </top>
      <bottom style="thin">
        <color indexed="12"/>
      </bottom>
      <diagonal/>
    </border>
    <border>
      <left style="medium">
        <color indexed="12"/>
      </left>
      <right/>
      <top style="thin">
        <color indexed="12"/>
      </top>
      <bottom style="thin">
        <color indexed="12"/>
      </bottom>
      <diagonal/>
    </border>
    <border>
      <left/>
      <right style="double">
        <color indexed="12"/>
      </right>
      <top style="thin">
        <color indexed="12"/>
      </top>
      <bottom/>
      <diagonal/>
    </border>
    <border>
      <left style="medium">
        <color indexed="12"/>
      </left>
      <right style="thin">
        <color indexed="12"/>
      </right>
      <top style="thin">
        <color indexed="12"/>
      </top>
      <bottom style="hair">
        <color indexed="12"/>
      </bottom>
      <diagonal/>
    </border>
    <border>
      <left style="medium">
        <color indexed="12"/>
      </left>
      <right style="thin">
        <color indexed="12"/>
      </right>
      <top style="hair">
        <color indexed="12"/>
      </top>
      <bottom style="hair">
        <color indexed="12"/>
      </bottom>
      <diagonal/>
    </border>
    <border>
      <left style="medium">
        <color indexed="12"/>
      </left>
      <right style="thin">
        <color indexed="12"/>
      </right>
      <top style="hair">
        <color indexed="12"/>
      </top>
      <bottom style="thin">
        <color indexed="12"/>
      </bottom>
      <diagonal/>
    </border>
    <border>
      <left style="medium">
        <color indexed="12"/>
      </left>
      <right style="thin">
        <color indexed="12"/>
      </right>
      <top/>
      <bottom style="hair">
        <color indexed="12"/>
      </bottom>
      <diagonal/>
    </border>
    <border>
      <left style="thin">
        <color indexed="12"/>
      </left>
      <right style="thin">
        <color indexed="12"/>
      </right>
      <top style="thin">
        <color indexed="12"/>
      </top>
      <bottom/>
      <diagonal/>
    </border>
    <border>
      <left style="thin">
        <color indexed="12"/>
      </left>
      <right style="thin">
        <color indexed="12"/>
      </right>
      <top/>
      <bottom style="thin">
        <color indexed="12"/>
      </bottom>
      <diagonal/>
    </border>
    <border>
      <left style="medium">
        <color indexed="12"/>
      </left>
      <right/>
      <top style="thin">
        <color indexed="12"/>
      </top>
      <bottom style="medium">
        <color indexed="12"/>
      </bottom>
      <diagonal/>
    </border>
    <border>
      <left style="thin">
        <color indexed="12"/>
      </left>
      <right/>
      <top style="medium">
        <color indexed="12"/>
      </top>
      <bottom/>
      <diagonal/>
    </border>
    <border>
      <left/>
      <right style="double">
        <color indexed="12"/>
      </right>
      <top style="medium">
        <color indexed="12"/>
      </top>
      <bottom/>
      <diagonal/>
    </border>
    <border>
      <left style="thin">
        <color indexed="12"/>
      </left>
      <right/>
      <top/>
      <bottom style="double">
        <color indexed="12"/>
      </bottom>
      <diagonal/>
    </border>
    <border>
      <left/>
      <right style="double">
        <color indexed="12"/>
      </right>
      <top/>
      <bottom style="double">
        <color indexed="12"/>
      </bottom>
      <diagonal/>
    </border>
    <border>
      <left style="thin">
        <color indexed="12"/>
      </left>
      <right style="thin">
        <color indexed="12"/>
      </right>
      <top style="thin">
        <color indexed="12"/>
      </top>
      <bottom style="thin">
        <color indexed="12"/>
      </bottom>
      <diagonal/>
    </border>
    <border>
      <left/>
      <right/>
      <top style="thin">
        <color indexed="12"/>
      </top>
      <bottom style="medium">
        <color indexed="12"/>
      </bottom>
      <diagonal/>
    </border>
    <border>
      <left style="medium">
        <color indexed="12"/>
      </left>
      <right/>
      <top style="medium">
        <color indexed="12"/>
      </top>
      <bottom style="medium">
        <color indexed="12"/>
      </bottom>
      <diagonal/>
    </border>
    <border>
      <left/>
      <right/>
      <top style="medium">
        <color indexed="12"/>
      </top>
      <bottom style="medium">
        <color indexed="12"/>
      </bottom>
      <diagonal/>
    </border>
    <border>
      <left/>
      <right style="medium">
        <color indexed="12"/>
      </right>
      <top style="medium">
        <color indexed="12"/>
      </top>
      <bottom style="medium">
        <color indexed="12"/>
      </bottom>
      <diagonal/>
    </border>
    <border>
      <left/>
      <right style="double">
        <color indexed="12"/>
      </right>
      <top style="medium">
        <color indexed="12"/>
      </top>
      <bottom style="thin">
        <color indexed="12"/>
      </bottom>
      <diagonal/>
    </border>
    <border>
      <left style="medium">
        <color indexed="12"/>
      </left>
      <right style="thin">
        <color indexed="12"/>
      </right>
      <top style="thin">
        <color indexed="12"/>
      </top>
      <bottom/>
      <diagonal/>
    </border>
    <border>
      <left style="medium">
        <color indexed="12"/>
      </left>
      <right style="thin">
        <color indexed="12"/>
      </right>
      <top/>
      <bottom/>
      <diagonal/>
    </border>
    <border>
      <left style="medium">
        <color indexed="12"/>
      </left>
      <right style="thin">
        <color indexed="12"/>
      </right>
      <top/>
      <bottom style="thin">
        <color indexed="12"/>
      </bottom>
      <diagonal/>
    </border>
    <border>
      <left style="medium">
        <color indexed="12"/>
      </left>
      <right style="thin">
        <color indexed="12"/>
      </right>
      <top style="medium">
        <color indexed="12"/>
      </top>
      <bottom style="thin">
        <color indexed="12"/>
      </bottom>
      <diagonal/>
    </border>
    <border>
      <left style="thin">
        <color indexed="12"/>
      </left>
      <right style="thin">
        <color indexed="12"/>
      </right>
      <top style="medium">
        <color indexed="12"/>
      </top>
      <bottom style="thin">
        <color indexed="12"/>
      </bottom>
      <diagonal/>
    </border>
    <border>
      <left style="medium">
        <color indexed="12"/>
      </left>
      <right style="thin">
        <color indexed="12"/>
      </right>
      <top style="thin">
        <color indexed="12"/>
      </top>
      <bottom style="double">
        <color indexed="12"/>
      </bottom>
      <diagonal/>
    </border>
    <border>
      <left style="medium">
        <color indexed="12"/>
      </left>
      <right style="thin">
        <color indexed="12"/>
      </right>
      <top style="thin">
        <color indexed="12"/>
      </top>
      <bottom style="thin">
        <color indexed="12"/>
      </bottom>
      <diagonal/>
    </border>
    <border>
      <left style="medium">
        <color indexed="12"/>
      </left>
      <right style="thin">
        <color indexed="12"/>
      </right>
      <top style="thin">
        <color indexed="12"/>
      </top>
      <bottom style="medium">
        <color indexed="12"/>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indexed="64"/>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indexed="64"/>
      </left>
      <right style="medium">
        <color indexed="64"/>
      </right>
      <top style="medium">
        <color indexed="64"/>
      </top>
      <bottom style="medium">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hair">
        <color auto="1"/>
      </right>
      <top style="thin">
        <color auto="1"/>
      </top>
      <bottom style="hair">
        <color auto="1"/>
      </bottom>
      <diagonal/>
    </border>
    <border>
      <left style="hair">
        <color auto="1"/>
      </left>
      <right/>
      <top style="thin">
        <color auto="1"/>
      </top>
      <bottom style="hair">
        <color auto="1"/>
      </bottom>
      <diagonal/>
    </border>
    <border>
      <left style="hair">
        <color auto="1"/>
      </left>
      <right style="hair">
        <color auto="1"/>
      </right>
      <top style="thin">
        <color auto="1"/>
      </top>
      <bottom style="hair">
        <color auto="1"/>
      </bottom>
      <diagonal/>
    </border>
    <border>
      <left style="medium">
        <color indexed="64"/>
      </left>
      <right style="medium">
        <color indexed="64"/>
      </right>
      <top style="medium">
        <color indexed="64"/>
      </top>
      <bottom style="thin">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medium">
        <color indexed="64"/>
      </left>
      <right style="medium">
        <color indexed="64"/>
      </right>
      <top style="thin">
        <color auto="1"/>
      </top>
      <bottom style="thin">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medium">
        <color indexed="64"/>
      </left>
      <right style="medium">
        <color indexed="64"/>
      </right>
      <top style="thin">
        <color auto="1"/>
      </top>
      <bottom style="medium">
        <color indexed="64"/>
      </bottom>
      <diagonal/>
    </border>
    <border>
      <left style="thin">
        <color indexed="12"/>
      </left>
      <right/>
      <top style="hair">
        <color indexed="12"/>
      </top>
      <bottom/>
      <diagonal/>
    </border>
    <border>
      <left style="double">
        <color indexed="12"/>
      </left>
      <right/>
      <top style="thin">
        <color indexed="12"/>
      </top>
      <bottom style="thin">
        <color indexed="12"/>
      </bottom>
      <diagonal/>
    </border>
    <border>
      <left style="thin">
        <color indexed="12"/>
      </left>
      <right/>
      <top style="hair">
        <color indexed="12"/>
      </top>
      <bottom style="hair">
        <color indexed="12"/>
      </bottom>
      <diagonal/>
    </border>
    <border>
      <left style="thin">
        <color indexed="12"/>
      </left>
      <right/>
      <top style="hair">
        <color indexed="12"/>
      </top>
      <bottom style="thin">
        <color indexed="12"/>
      </bottom>
      <diagonal/>
    </border>
    <border>
      <left style="double">
        <color indexed="12"/>
      </left>
      <right/>
      <top style="medium">
        <color indexed="12"/>
      </top>
      <bottom style="thin">
        <color indexed="12"/>
      </bottom>
      <diagonal/>
    </border>
    <border>
      <left style="thin">
        <color indexed="12"/>
      </left>
      <right/>
      <top style="thin">
        <color indexed="12"/>
      </top>
      <bottom style="double">
        <color indexed="12"/>
      </bottom>
      <diagonal/>
    </border>
    <border>
      <left style="double">
        <color indexed="12"/>
      </left>
      <right style="thin">
        <color indexed="12"/>
      </right>
      <top style="double">
        <color indexed="12"/>
      </top>
      <bottom style="hair">
        <color indexed="12"/>
      </bottom>
      <diagonal/>
    </border>
    <border>
      <left style="double">
        <color indexed="12"/>
      </left>
      <right style="thin">
        <color indexed="12"/>
      </right>
      <top style="hair">
        <color indexed="12"/>
      </top>
      <bottom/>
      <diagonal/>
    </border>
    <border>
      <left style="double">
        <color indexed="12"/>
      </left>
      <right style="thin">
        <color indexed="12"/>
      </right>
      <top style="hair">
        <color indexed="12"/>
      </top>
      <bottom style="hair">
        <color indexed="12"/>
      </bottom>
      <diagonal/>
    </border>
    <border>
      <left style="double">
        <color indexed="12"/>
      </left>
      <right style="thin">
        <color indexed="12"/>
      </right>
      <top style="hair">
        <color indexed="12"/>
      </top>
      <bottom style="thin">
        <color indexed="12"/>
      </bottom>
      <diagonal/>
    </border>
    <border>
      <left style="double">
        <color indexed="12"/>
      </left>
      <right style="thin">
        <color indexed="12"/>
      </right>
      <top/>
      <bottom/>
      <diagonal/>
    </border>
    <border>
      <left style="double">
        <color indexed="12"/>
      </left>
      <right style="thin">
        <color indexed="12"/>
      </right>
      <top/>
      <bottom style="medium">
        <color indexed="12"/>
      </bottom>
      <diagonal/>
    </border>
    <border>
      <left style="double">
        <color indexed="12"/>
      </left>
      <right/>
      <top/>
      <bottom/>
      <diagonal/>
    </border>
    <border>
      <left style="double">
        <color indexed="12"/>
      </left>
      <right style="medium">
        <color indexed="12"/>
      </right>
      <top style="thin">
        <color indexed="12"/>
      </top>
      <bottom style="thin">
        <color indexed="12"/>
      </bottom>
      <diagonal/>
    </border>
    <border>
      <left style="double">
        <color indexed="12"/>
      </left>
      <right style="thin">
        <color indexed="12"/>
      </right>
      <top style="double">
        <color indexed="12"/>
      </top>
      <bottom style="medium">
        <color indexed="12"/>
      </bottom>
      <diagonal/>
    </border>
    <border>
      <left style="double">
        <color indexed="12"/>
      </left>
      <right style="thin">
        <color indexed="12"/>
      </right>
      <top style="double">
        <color indexed="12"/>
      </top>
      <bottom style="thin">
        <color indexed="12"/>
      </bottom>
      <diagonal/>
    </border>
    <border>
      <left style="double">
        <color indexed="12"/>
      </left>
      <right/>
      <top/>
      <bottom style="thin">
        <color indexed="12"/>
      </bottom>
      <diagonal/>
    </border>
    <border>
      <left/>
      <right style="medium">
        <color indexed="12"/>
      </right>
      <top/>
      <bottom style="thin">
        <color indexed="12"/>
      </bottom>
      <diagonal/>
    </border>
    <border>
      <left/>
      <right/>
      <top style="thin">
        <color indexed="12"/>
      </top>
      <bottom style="double">
        <color indexed="12"/>
      </bottom>
      <diagonal/>
    </border>
    <border>
      <left style="double">
        <color indexed="12"/>
      </left>
      <right/>
      <top style="thin">
        <color indexed="12"/>
      </top>
      <bottom style="double">
        <color indexed="12"/>
      </bottom>
      <diagonal/>
    </border>
  </borders>
  <cellStyleXfs count="73">
    <xf numFmtId="0" fontId="0" fillId="0" borderId="0"/>
    <xf numFmtId="0" fontId="19" fillId="0" borderId="0"/>
    <xf numFmtId="43" fontId="19"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0" fontId="27" fillId="0" borderId="0" applyNumberFormat="0" applyFill="0" applyBorder="0" applyAlignment="0" applyProtection="0">
      <alignment vertical="top"/>
      <protection locked="0"/>
    </xf>
    <xf numFmtId="0" fontId="10" fillId="0" borderId="0"/>
    <xf numFmtId="0" fontId="28" fillId="0" borderId="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3" fillId="0" borderId="0"/>
    <xf numFmtId="0" fontId="3" fillId="0" borderId="0"/>
    <xf numFmtId="0" fontId="3" fillId="0" borderId="0"/>
    <xf numFmtId="0" fontId="3" fillId="0" borderId="0"/>
    <xf numFmtId="9" fontId="10" fillId="0" borderId="0" applyFont="0" applyFill="0" applyBorder="0" applyAlignment="0" applyProtection="0"/>
    <xf numFmtId="9" fontId="28" fillId="0" borderId="0" applyFont="0" applyFill="0" applyBorder="0" applyAlignment="0" applyProtection="0"/>
    <xf numFmtId="0" fontId="29" fillId="0" borderId="0">
      <alignment vertical="top"/>
    </xf>
    <xf numFmtId="0" fontId="2" fillId="0" borderId="0"/>
    <xf numFmtId="43" fontId="2" fillId="0" borderId="0" applyFont="0" applyFill="0" applyBorder="0" applyAlignment="0" applyProtection="0"/>
    <xf numFmtId="44" fontId="32" fillId="0" borderId="0" applyFont="0" applyFill="0" applyBorder="0" applyAlignment="0" applyProtection="0"/>
    <xf numFmtId="0" fontId="1" fillId="0" borderId="0"/>
  </cellStyleXfs>
  <cellXfs count="494">
    <xf numFmtId="0" fontId="0" fillId="0" borderId="0" xfId="0"/>
    <xf numFmtId="0" fontId="4" fillId="0" borderId="0" xfId="0" applyFont="1" applyAlignment="1">
      <alignment vertical="top"/>
    </xf>
    <xf numFmtId="0" fontId="4" fillId="0" borderId="0" xfId="0" applyFont="1" applyFill="1" applyBorder="1" applyAlignment="1">
      <alignment vertical="top"/>
    </xf>
    <xf numFmtId="0" fontId="4" fillId="0" borderId="0" xfId="0" applyFont="1" applyBorder="1" applyAlignment="1">
      <alignment vertical="top"/>
    </xf>
    <xf numFmtId="0" fontId="4" fillId="0" borderId="0" xfId="0" applyFont="1" applyBorder="1" applyAlignment="1">
      <alignment horizontal="left" vertical="top" indent="1"/>
    </xf>
    <xf numFmtId="0" fontId="4" fillId="0" borderId="0" xfId="0" applyFont="1" applyBorder="1" applyAlignment="1">
      <alignment horizontal="left" vertical="top"/>
    </xf>
    <xf numFmtId="0" fontId="4" fillId="0" borderId="1" xfId="0" applyFont="1" applyBorder="1" applyAlignment="1">
      <alignment horizontal="center" vertical="top"/>
    </xf>
    <xf numFmtId="0" fontId="4" fillId="0" borderId="2" xfId="0" applyFont="1" applyBorder="1" applyAlignment="1">
      <alignment horizontal="center" vertical="top"/>
    </xf>
    <xf numFmtId="0" fontId="4" fillId="0" borderId="3" xfId="0" applyFont="1" applyBorder="1" applyAlignment="1">
      <alignment horizontal="center" vertical="top"/>
    </xf>
    <xf numFmtId="0" fontId="7" fillId="0" borderId="4" xfId="0" applyFont="1" applyBorder="1" applyAlignment="1">
      <alignment horizontal="left" vertical="center"/>
    </xf>
    <xf numFmtId="0" fontId="7" fillId="0" borderId="5" xfId="0" applyFont="1" applyBorder="1" applyAlignment="1">
      <alignment horizontal="left"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vertical="top"/>
    </xf>
    <xf numFmtId="0" fontId="4" fillId="0" borderId="7" xfId="0" applyFont="1" applyBorder="1" applyAlignment="1">
      <alignment horizontal="center" vertical="top"/>
    </xf>
    <xf numFmtId="0" fontId="4" fillId="0" borderId="7" xfId="0" applyFont="1" applyBorder="1" applyAlignment="1">
      <alignment horizontal="left" vertical="top"/>
    </xf>
    <xf numFmtId="0" fontId="4" fillId="0" borderId="8" xfId="0" applyFont="1" applyBorder="1" applyAlignment="1">
      <alignment horizontal="left" vertical="top"/>
    </xf>
    <xf numFmtId="0" fontId="4" fillId="0" borderId="9" xfId="0" applyFont="1" applyBorder="1" applyAlignment="1">
      <alignment horizontal="left" vertical="top"/>
    </xf>
    <xf numFmtId="0" fontId="4" fillId="0" borderId="7" xfId="0" applyFont="1" applyBorder="1" applyAlignment="1">
      <alignment vertical="top"/>
    </xf>
    <xf numFmtId="0" fontId="4" fillId="0" borderId="9" xfId="0" applyFont="1" applyBorder="1" applyAlignment="1">
      <alignment vertical="top"/>
    </xf>
    <xf numFmtId="0" fontId="7" fillId="0" borderId="10" xfId="0" applyFont="1" applyBorder="1" applyAlignment="1">
      <alignment vertical="center"/>
    </xf>
    <xf numFmtId="0" fontId="7" fillId="0" borderId="4" xfId="0" applyFont="1" applyBorder="1" applyAlignment="1">
      <alignment vertical="center"/>
    </xf>
    <xf numFmtId="0" fontId="7" fillId="0" borderId="5" xfId="0" applyFont="1" applyBorder="1" applyAlignment="1">
      <alignment vertical="center"/>
    </xf>
    <xf numFmtId="0" fontId="7" fillId="0" borderId="10" xfId="0" applyFont="1" applyBorder="1" applyAlignment="1">
      <alignment horizontal="left" vertical="center"/>
    </xf>
    <xf numFmtId="0" fontId="12" fillId="0" borderId="0" xfId="0" applyFont="1" applyBorder="1" applyAlignment="1">
      <alignment horizontal="right" vertical="top"/>
    </xf>
    <xf numFmtId="0" fontId="4" fillId="0" borderId="11" xfId="0" applyFont="1" applyBorder="1" applyAlignment="1">
      <alignment vertical="center"/>
    </xf>
    <xf numFmtId="0" fontId="4" fillId="0" borderId="12" xfId="0" applyFont="1" applyBorder="1" applyAlignment="1">
      <alignment horizontal="center" vertical="top"/>
    </xf>
    <xf numFmtId="0" fontId="4" fillId="0" borderId="13" xfId="0" applyFont="1" applyBorder="1" applyAlignment="1">
      <alignment horizontal="left" vertical="top" indent="1"/>
    </xf>
    <xf numFmtId="0" fontId="8" fillId="2" borderId="15" xfId="0" applyFont="1" applyFill="1" applyBorder="1" applyAlignment="1">
      <alignment horizontal="center" vertical="center" wrapText="1"/>
    </xf>
    <xf numFmtId="0" fontId="8" fillId="2" borderId="16"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2" borderId="18" xfId="0" applyFont="1" applyFill="1" applyBorder="1" applyAlignment="1">
      <alignment horizontal="center" vertical="center" wrapText="1"/>
    </xf>
    <xf numFmtId="0" fontId="4" fillId="0" borderId="19" xfId="0" applyFont="1" applyBorder="1" applyAlignment="1">
      <alignment horizontal="left"/>
    </xf>
    <xf numFmtId="0" fontId="5" fillId="0" borderId="0" xfId="0" applyFont="1"/>
    <xf numFmtId="0" fontId="5" fillId="0" borderId="0" xfId="0" applyFont="1" applyAlignment="1">
      <alignment horizontal="left"/>
    </xf>
    <xf numFmtId="0" fontId="4" fillId="0" borderId="0" xfId="0" applyFont="1"/>
    <xf numFmtId="166" fontId="4" fillId="0" borderId="0" xfId="0" applyNumberFormat="1" applyFont="1" applyFill="1" applyBorder="1" applyAlignment="1">
      <alignment vertical="top"/>
    </xf>
    <xf numFmtId="0" fontId="15" fillId="0" borderId="0" xfId="0" applyFont="1" applyBorder="1" applyAlignment="1">
      <alignment horizontal="right" vertical="center"/>
    </xf>
    <xf numFmtId="0" fontId="4" fillId="0" borderId="28" xfId="0" applyFont="1" applyBorder="1"/>
    <xf numFmtId="0" fontId="4" fillId="0" borderId="29" xfId="0" applyFont="1" applyBorder="1"/>
    <xf numFmtId="0" fontId="0" fillId="0" borderId="29" xfId="0" applyBorder="1"/>
    <xf numFmtId="0" fontId="4" fillId="2" borderId="30" xfId="0" applyFont="1" applyFill="1" applyBorder="1" applyAlignment="1">
      <alignment horizontal="left" vertical="top"/>
    </xf>
    <xf numFmtId="0" fontId="4" fillId="2" borderId="31" xfId="0" applyFont="1" applyFill="1" applyBorder="1" applyAlignment="1">
      <alignment horizontal="left" vertical="top"/>
    </xf>
    <xf numFmtId="0" fontId="4" fillId="2" borderId="32" xfId="0" applyFont="1" applyFill="1" applyBorder="1" applyAlignment="1">
      <alignment horizontal="left" vertical="top"/>
    </xf>
    <xf numFmtId="0" fontId="4" fillId="2" borderId="33" xfId="0" applyFont="1" applyFill="1" applyBorder="1" applyAlignment="1">
      <alignment horizontal="left" vertical="top"/>
    </xf>
    <xf numFmtId="0" fontId="4" fillId="2" borderId="34" xfId="0" applyFont="1" applyFill="1" applyBorder="1" applyAlignment="1">
      <alignment horizontal="left" vertical="top"/>
    </xf>
    <xf numFmtId="0" fontId="4" fillId="2" borderId="35" xfId="0" applyFont="1" applyFill="1" applyBorder="1" applyAlignment="1">
      <alignment horizontal="left" vertical="top"/>
    </xf>
    <xf numFmtId="0" fontId="4" fillId="2" borderId="30" xfId="0" applyFont="1" applyFill="1" applyBorder="1" applyAlignment="1">
      <alignment vertical="top"/>
    </xf>
    <xf numFmtId="0" fontId="4" fillId="2" borderId="31" xfId="0" applyFont="1" applyFill="1" applyBorder="1" applyAlignment="1">
      <alignment vertical="top"/>
    </xf>
    <xf numFmtId="0" fontId="4" fillId="2" borderId="32" xfId="0" applyFont="1" applyFill="1" applyBorder="1" applyAlignment="1">
      <alignment vertical="top"/>
    </xf>
    <xf numFmtId="0" fontId="4" fillId="2" borderId="7" xfId="0" applyFont="1" applyFill="1" applyBorder="1" applyAlignment="1">
      <alignment horizontal="left" vertical="top"/>
    </xf>
    <xf numFmtId="0" fontId="4" fillId="2" borderId="0" xfId="0" applyFont="1" applyFill="1" applyBorder="1" applyAlignment="1">
      <alignment horizontal="left" vertical="top"/>
    </xf>
    <xf numFmtId="0" fontId="4" fillId="2" borderId="8" xfId="0" applyFont="1" applyFill="1" applyBorder="1" applyAlignment="1">
      <alignment horizontal="left" vertical="top"/>
    </xf>
    <xf numFmtId="0" fontId="4" fillId="0" borderId="36" xfId="0" applyFont="1" applyBorder="1" applyAlignment="1">
      <alignment horizontal="center" vertical="center"/>
    </xf>
    <xf numFmtId="0" fontId="4" fillId="0" borderId="37" xfId="0" applyFont="1" applyBorder="1" applyAlignment="1">
      <alignment horizontal="center" vertical="center" wrapText="1"/>
    </xf>
    <xf numFmtId="0" fontId="4" fillId="0" borderId="38" xfId="0" applyFont="1" applyBorder="1" applyAlignment="1">
      <alignment horizontal="center" vertical="center" wrapText="1"/>
    </xf>
    <xf numFmtId="0" fontId="4" fillId="0" borderId="39" xfId="0" applyFont="1" applyBorder="1" applyAlignment="1">
      <alignment horizontal="center" vertical="center" wrapText="1"/>
    </xf>
    <xf numFmtId="0" fontId="0" fillId="0" borderId="40" xfId="0" applyBorder="1" applyAlignment="1"/>
    <xf numFmtId="0" fontId="4" fillId="0" borderId="41" xfId="0" applyFont="1" applyBorder="1" applyAlignment="1">
      <alignment vertical="top"/>
    </xf>
    <xf numFmtId="0" fontId="7" fillId="0" borderId="42" xfId="0" applyFont="1" applyBorder="1" applyAlignment="1">
      <alignment horizontal="left" vertical="center"/>
    </xf>
    <xf numFmtId="0" fontId="7" fillId="0" borderId="43" xfId="0" applyFont="1" applyBorder="1" applyAlignment="1">
      <alignment horizontal="left" vertical="center"/>
    </xf>
    <xf numFmtId="0" fontId="7" fillId="0" borderId="44" xfId="0" applyFont="1" applyBorder="1" applyAlignment="1">
      <alignment vertical="center"/>
    </xf>
    <xf numFmtId="0" fontId="7" fillId="0" borderId="42" xfId="0" applyFont="1" applyBorder="1" applyAlignment="1">
      <alignment vertical="center"/>
    </xf>
    <xf numFmtId="0" fontId="7" fillId="0" borderId="43" xfId="0" applyFont="1" applyBorder="1" applyAlignment="1">
      <alignment vertical="center"/>
    </xf>
    <xf numFmtId="0" fontId="7" fillId="0" borderId="44" xfId="0" applyFont="1" applyBorder="1" applyAlignment="1">
      <alignment horizontal="left" vertical="center"/>
    </xf>
    <xf numFmtId="0" fontId="7" fillId="0" borderId="45" xfId="0" applyFont="1" applyBorder="1" applyAlignment="1">
      <alignment horizontal="left" vertical="center"/>
    </xf>
    <xf numFmtId="0" fontId="7" fillId="0" borderId="46" xfId="0" applyFont="1" applyBorder="1" applyAlignment="1">
      <alignment horizontal="left" vertical="center"/>
    </xf>
    <xf numFmtId="0" fontId="4" fillId="0" borderId="47" xfId="0" applyFont="1" applyBorder="1" applyAlignment="1">
      <alignment horizontal="center" vertical="top"/>
    </xf>
    <xf numFmtId="0" fontId="4" fillId="0" borderId="48" xfId="0" applyFont="1" applyBorder="1" applyAlignment="1">
      <alignment horizontal="left" vertical="top" indent="1"/>
    </xf>
    <xf numFmtId="0" fontId="5" fillId="0" borderId="49" xfId="0" applyFont="1" applyFill="1" applyBorder="1" applyAlignment="1">
      <alignment horizontal="center" vertical="center"/>
    </xf>
    <xf numFmtId="0" fontId="4" fillId="0" borderId="50" xfId="0" applyFont="1" applyBorder="1" applyAlignment="1">
      <alignment horizontal="left"/>
    </xf>
    <xf numFmtId="0" fontId="11" fillId="0" borderId="0" xfId="0" applyFont="1"/>
    <xf numFmtId="0" fontId="7" fillId="0" borderId="0" xfId="0" applyFont="1" applyBorder="1" applyAlignment="1">
      <alignment horizontal="right" vertical="center"/>
    </xf>
    <xf numFmtId="165" fontId="10" fillId="3" borderId="51" xfId="0" applyNumberFormat="1" applyFont="1" applyFill="1" applyBorder="1" applyAlignment="1">
      <alignment horizontal="center" vertical="center"/>
    </xf>
    <xf numFmtId="0" fontId="5" fillId="0" borderId="51" xfId="0" applyFont="1" applyFill="1" applyBorder="1" applyAlignment="1">
      <alignment horizontal="center" vertical="center"/>
    </xf>
    <xf numFmtId="164" fontId="10" fillId="3" borderId="52" xfId="0" applyNumberFormat="1" applyFont="1" applyFill="1" applyBorder="1" applyAlignment="1">
      <alignment horizontal="center" vertical="center"/>
    </xf>
    <xf numFmtId="0" fontId="9" fillId="0" borderId="7" xfId="0" applyFont="1" applyBorder="1" applyAlignment="1">
      <alignment horizontal="left" vertical="top"/>
    </xf>
    <xf numFmtId="0" fontId="9" fillId="0" borderId="7" xfId="0" applyFont="1" applyBorder="1" applyAlignment="1">
      <alignment vertical="top"/>
    </xf>
    <xf numFmtId="0" fontId="9" fillId="0" borderId="0" xfId="0" applyFont="1" applyBorder="1" applyAlignment="1">
      <alignment horizontal="center" vertical="top"/>
    </xf>
    <xf numFmtId="0" fontId="7" fillId="0" borderId="53" xfId="0" applyFont="1" applyBorder="1" applyAlignment="1">
      <alignment horizontal="left" vertical="center"/>
    </xf>
    <xf numFmtId="0" fontId="4" fillId="0" borderId="54" xfId="0" applyFont="1" applyBorder="1" applyAlignment="1">
      <alignment horizontal="center" vertical="center"/>
    </xf>
    <xf numFmtId="0" fontId="4" fillId="0" borderId="55" xfId="0" applyFont="1" applyBorder="1" applyAlignment="1">
      <alignment horizontal="center" vertical="center"/>
    </xf>
    <xf numFmtId="0" fontId="4" fillId="0" borderId="56" xfId="0" applyFont="1" applyBorder="1" applyAlignment="1">
      <alignment vertical="top"/>
    </xf>
    <xf numFmtId="0" fontId="6" fillId="0" borderId="57" xfId="0" applyFont="1" applyFill="1" applyBorder="1" applyAlignment="1">
      <alignment horizontal="left" vertical="center"/>
    </xf>
    <xf numFmtId="0" fontId="4" fillId="0" borderId="58" xfId="0" applyFont="1" applyBorder="1" applyAlignment="1">
      <alignment vertical="top"/>
    </xf>
    <xf numFmtId="0" fontId="4" fillId="0" borderId="33" xfId="0" applyFont="1" applyBorder="1" applyAlignment="1">
      <alignment horizontal="center" vertical="top"/>
    </xf>
    <xf numFmtId="166" fontId="16" fillId="0" borderId="59" xfId="0" applyNumberFormat="1" applyFont="1" applyFill="1" applyBorder="1" applyAlignment="1">
      <alignment vertical="center"/>
    </xf>
    <xf numFmtId="0" fontId="5" fillId="0" borderId="61" xfId="0" applyFont="1" applyBorder="1" applyAlignment="1">
      <alignment horizontal="center" vertical="center"/>
    </xf>
    <xf numFmtId="0" fontId="5" fillId="0" borderId="62" xfId="0" applyFont="1" applyBorder="1" applyAlignment="1">
      <alignment horizontal="center" vertical="center"/>
    </xf>
    <xf numFmtId="0" fontId="4" fillId="0" borderId="65" xfId="0" applyFont="1" applyBorder="1" applyAlignment="1">
      <alignment horizontal="center" vertical="top"/>
    </xf>
    <xf numFmtId="3" fontId="4" fillId="0" borderId="66" xfId="0" applyNumberFormat="1" applyFont="1" applyBorder="1" applyAlignment="1">
      <alignment horizontal="center" vertical="top"/>
    </xf>
    <xf numFmtId="0" fontId="4" fillId="0" borderId="67" xfId="0" applyFont="1" applyBorder="1" applyAlignment="1">
      <alignment horizontal="center" vertical="top"/>
    </xf>
    <xf numFmtId="0" fontId="4" fillId="0" borderId="68" xfId="0" applyFont="1" applyBorder="1" applyAlignment="1">
      <alignment horizontal="center" vertical="top"/>
    </xf>
    <xf numFmtId="0" fontId="5" fillId="3" borderId="69" xfId="0" applyNumberFormat="1" applyFont="1" applyFill="1" applyBorder="1" applyAlignment="1">
      <alignment horizontal="center" vertical="center"/>
    </xf>
    <xf numFmtId="0" fontId="10" fillId="3" borderId="70" xfId="0" applyNumberFormat="1" applyFont="1" applyFill="1" applyBorder="1" applyAlignment="1">
      <alignment horizontal="center" vertical="center"/>
    </xf>
    <xf numFmtId="3" fontId="4" fillId="3" borderId="71" xfId="0" applyNumberFormat="1" applyFont="1" applyFill="1" applyBorder="1" applyAlignment="1">
      <alignment horizontal="center" vertical="top"/>
    </xf>
    <xf numFmtId="3" fontId="4" fillId="3" borderId="77" xfId="0" applyNumberFormat="1" applyFont="1" applyFill="1" applyBorder="1" applyAlignment="1">
      <alignment horizontal="center" vertical="top"/>
    </xf>
    <xf numFmtId="0" fontId="4" fillId="0" borderId="78" xfId="0" applyFont="1" applyBorder="1" applyAlignment="1">
      <alignment horizontal="center" vertical="top"/>
    </xf>
    <xf numFmtId="3" fontId="4" fillId="0" borderId="78" xfId="0" applyNumberFormat="1" applyFont="1" applyBorder="1" applyAlignment="1">
      <alignment horizontal="center" vertical="top"/>
    </xf>
    <xf numFmtId="0" fontId="5" fillId="6" borderId="0" xfId="0" applyFont="1" applyFill="1" applyBorder="1"/>
    <xf numFmtId="0" fontId="13" fillId="6" borderId="23" xfId="0" applyFont="1" applyFill="1" applyBorder="1"/>
    <xf numFmtId="0" fontId="13" fillId="6" borderId="24" xfId="0" applyFont="1" applyFill="1" applyBorder="1"/>
    <xf numFmtId="0" fontId="13" fillId="6" borderId="0" xfId="0" applyFont="1" applyFill="1" applyBorder="1"/>
    <xf numFmtId="0" fontId="13" fillId="6" borderId="25" xfId="0" applyFont="1" applyFill="1" applyBorder="1"/>
    <xf numFmtId="0" fontId="5" fillId="6" borderId="26" xfId="0" applyFont="1" applyFill="1" applyBorder="1"/>
    <xf numFmtId="0" fontId="13" fillId="6" borderId="26" xfId="0" applyFont="1" applyFill="1" applyBorder="1"/>
    <xf numFmtId="0" fontId="13" fillId="6" borderId="27" xfId="0" applyFont="1" applyFill="1" applyBorder="1"/>
    <xf numFmtId="0" fontId="5" fillId="6" borderId="20" xfId="0" applyFont="1" applyFill="1" applyBorder="1"/>
    <xf numFmtId="0" fontId="5" fillId="6" borderId="21" xfId="0" applyFont="1" applyFill="1" applyBorder="1"/>
    <xf numFmtId="0" fontId="5" fillId="6" borderId="64" xfId="0" applyFont="1" applyFill="1" applyBorder="1"/>
    <xf numFmtId="0" fontId="5" fillId="6" borderId="63" xfId="0" applyFont="1" applyFill="1" applyBorder="1"/>
    <xf numFmtId="0" fontId="5" fillId="6" borderId="22" xfId="0" applyFont="1" applyFill="1" applyBorder="1"/>
    <xf numFmtId="0" fontId="20" fillId="6" borderId="144" xfId="1" applyFont="1" applyFill="1" applyBorder="1" applyAlignment="1" applyProtection="1">
      <alignment horizontal="center" vertical="center" wrapText="1"/>
    </xf>
    <xf numFmtId="166" fontId="20" fillId="6" borderId="144" xfId="1" applyNumberFormat="1" applyFont="1" applyFill="1" applyBorder="1" applyAlignment="1" applyProtection="1">
      <alignment horizontal="center" vertical="center" wrapText="1"/>
    </xf>
    <xf numFmtId="43" fontId="20" fillId="6" borderId="144" xfId="2" applyFont="1" applyFill="1" applyBorder="1" applyAlignment="1" applyProtection="1">
      <alignment horizontal="center" vertical="center" wrapText="1"/>
    </xf>
    <xf numFmtId="49" fontId="20" fillId="6" borderId="144" xfId="1" applyNumberFormat="1" applyFont="1" applyFill="1" applyBorder="1" applyAlignment="1" applyProtection="1">
      <alignment horizontal="center" vertical="center" wrapText="1"/>
    </xf>
    <xf numFmtId="0" fontId="19" fillId="0" borderId="0" xfId="1" applyFill="1" applyBorder="1" applyAlignment="1" applyProtection="1">
      <alignment horizontal="center" vertical="center" wrapText="1"/>
    </xf>
    <xf numFmtId="0" fontId="19" fillId="0" borderId="0" xfId="1" applyNumberFormat="1" applyFill="1" applyBorder="1" applyAlignment="1" applyProtection="1">
      <alignment horizontal="center" vertical="center" wrapText="1"/>
    </xf>
    <xf numFmtId="0" fontId="19" fillId="0" borderId="0" xfId="1" applyNumberFormat="1" applyFont="1" applyFill="1" applyBorder="1" applyAlignment="1" applyProtection="1">
      <alignment horizontal="center" vertical="center" wrapText="1"/>
    </xf>
    <xf numFmtId="0" fontId="19" fillId="0" borderId="0" xfId="1" applyFill="1" applyBorder="1" applyAlignment="1" applyProtection="1">
      <alignment horizontal="left" vertical="top" wrapText="1"/>
    </xf>
    <xf numFmtId="0" fontId="21" fillId="0" borderId="145" xfId="1" applyNumberFormat="1" applyFont="1" applyFill="1" applyBorder="1" applyAlignment="1" applyProtection="1">
      <alignment horizontal="left" vertical="top" wrapText="1"/>
    </xf>
    <xf numFmtId="0" fontId="19" fillId="0" borderId="145" xfId="1" applyFill="1" applyBorder="1" applyAlignment="1" applyProtection="1">
      <alignment horizontal="left" vertical="top" wrapText="1"/>
    </xf>
    <xf numFmtId="0" fontId="19" fillId="0" borderId="118" xfId="1" applyFill="1" applyBorder="1" applyAlignment="1" applyProtection="1">
      <alignment horizontal="left" vertical="top" wrapText="1"/>
    </xf>
    <xf numFmtId="0" fontId="19" fillId="0" borderId="145" xfId="1" applyNumberFormat="1" applyFill="1" applyBorder="1" applyAlignment="1" applyProtection="1">
      <alignment horizontal="left" vertical="top" wrapText="1"/>
    </xf>
    <xf numFmtId="0" fontId="19" fillId="0" borderId="0" xfId="1" applyFill="1" applyBorder="1" applyAlignment="1" applyProtection="1">
      <alignment horizontal="center" vertical="top" wrapText="1"/>
    </xf>
    <xf numFmtId="0" fontId="22" fillId="0" borderId="145" xfId="1" applyFont="1" applyFill="1" applyBorder="1" applyAlignment="1" applyProtection="1">
      <alignment horizontal="left" vertical="top" wrapText="1"/>
    </xf>
    <xf numFmtId="171" fontId="23" fillId="8" borderId="147" xfId="1" applyNumberFormat="1" applyFont="1" applyFill="1" applyBorder="1" applyAlignment="1" applyProtection="1">
      <alignment horizontal="left" vertical="top" wrapText="1"/>
    </xf>
    <xf numFmtId="0" fontId="19" fillId="8" borderId="147" xfId="1" applyFill="1" applyBorder="1" applyAlignment="1" applyProtection="1">
      <alignment horizontal="left" vertical="top" wrapText="1"/>
    </xf>
    <xf numFmtId="172" fontId="25" fillId="8" borderId="148" xfId="1" applyNumberFormat="1" applyFont="1" applyFill="1" applyBorder="1" applyAlignment="1" applyProtection="1">
      <alignment horizontal="left" vertical="top" wrapText="1"/>
    </xf>
    <xf numFmtId="0" fontId="19" fillId="8" borderId="145" xfId="1" applyNumberFormat="1" applyFill="1" applyBorder="1" applyAlignment="1" applyProtection="1">
      <alignment horizontal="left" vertical="top" wrapText="1"/>
    </xf>
    <xf numFmtId="173" fontId="25" fillId="8" borderId="148" xfId="1" applyNumberFormat="1" applyFont="1" applyFill="1" applyBorder="1" applyAlignment="1" applyProtection="1">
      <alignment horizontal="left" vertical="top" wrapText="1"/>
    </xf>
    <xf numFmtId="0" fontId="26" fillId="8" borderId="147" xfId="1" applyFont="1" applyFill="1" applyBorder="1" applyAlignment="1" applyProtection="1">
      <alignment horizontal="left" vertical="top" wrapText="1"/>
    </xf>
    <xf numFmtId="172" fontId="23" fillId="8" borderId="148" xfId="1" applyNumberFormat="1" applyFont="1" applyFill="1" applyBorder="1" applyAlignment="1" applyProtection="1">
      <alignment horizontal="left" vertical="top" wrapText="1"/>
    </xf>
    <xf numFmtId="0" fontId="26" fillId="8" borderId="145" xfId="1" applyNumberFormat="1" applyFont="1" applyFill="1" applyBorder="1" applyAlignment="1" applyProtection="1">
      <alignment horizontal="left" vertical="top" wrapText="1"/>
    </xf>
    <xf numFmtId="0" fontId="24" fillId="8" borderId="149" xfId="1" applyFont="1" applyFill="1" applyBorder="1" applyAlignment="1" applyProtection="1">
      <alignment vertical="top" wrapText="1"/>
    </xf>
    <xf numFmtId="8" fontId="19" fillId="0" borderId="0" xfId="1" applyNumberFormat="1" applyFill="1" applyBorder="1" applyAlignment="1" applyProtection="1">
      <alignment horizontal="left" vertical="top" wrapText="1"/>
    </xf>
    <xf numFmtId="171" fontId="23" fillId="8" borderId="150" xfId="1" applyNumberFormat="1" applyFont="1" applyFill="1" applyBorder="1" applyAlignment="1" applyProtection="1">
      <alignment horizontal="left" vertical="top" wrapText="1"/>
    </xf>
    <xf numFmtId="0" fontId="26" fillId="8" borderId="150" xfId="1" applyFont="1" applyFill="1" applyBorder="1" applyAlignment="1" applyProtection="1">
      <alignment horizontal="left" vertical="top" wrapText="1"/>
    </xf>
    <xf numFmtId="172" fontId="23" fillId="8" borderId="151" xfId="1" applyNumberFormat="1" applyFont="1" applyFill="1" applyBorder="1" applyAlignment="1" applyProtection="1">
      <alignment horizontal="left" vertical="top" wrapText="1"/>
    </xf>
    <xf numFmtId="0" fontId="26" fillId="8" borderId="145" xfId="1" applyFont="1" applyFill="1" applyBorder="1" applyAlignment="1" applyProtection="1">
      <alignment horizontal="left" vertical="top" wrapText="1"/>
    </xf>
    <xf numFmtId="166" fontId="26" fillId="8" borderId="118" xfId="1" applyNumberFormat="1" applyFont="1" applyFill="1" applyBorder="1" applyAlignment="1" applyProtection="1">
      <alignment horizontal="left" vertical="top" wrapText="1"/>
    </xf>
    <xf numFmtId="0" fontId="19" fillId="0" borderId="0" xfId="1" applyNumberFormat="1" applyFill="1" applyBorder="1" applyAlignment="1" applyProtection="1">
      <alignment horizontal="left" vertical="top" wrapText="1"/>
    </xf>
    <xf numFmtId="0" fontId="20" fillId="6" borderId="152" xfId="1" applyFont="1" applyFill="1" applyBorder="1" applyAlignment="1" applyProtection="1">
      <alignment horizontal="center" vertical="center" wrapText="1"/>
    </xf>
    <xf numFmtId="0" fontId="19" fillId="0" borderId="0" xfId="1" applyFill="1" applyBorder="1" applyAlignment="1" applyProtection="1">
      <alignment horizontal="left" vertical="center" wrapText="1"/>
    </xf>
    <xf numFmtId="166" fontId="19" fillId="0" borderId="0" xfId="1" applyNumberFormat="1" applyFill="1" applyBorder="1" applyAlignment="1" applyProtection="1">
      <alignment horizontal="right" vertical="center" wrapText="1"/>
    </xf>
    <xf numFmtId="43" fontId="0" fillId="0" borderId="0" xfId="2" applyFont="1" applyFill="1" applyBorder="1" applyAlignment="1" applyProtection="1">
      <alignment horizontal="right" vertical="center" wrapText="1"/>
    </xf>
    <xf numFmtId="49" fontId="19" fillId="0" borderId="0" xfId="1" applyNumberFormat="1" applyFill="1" applyBorder="1" applyAlignment="1" applyProtection="1">
      <alignment horizontal="left" vertical="center" wrapText="1"/>
    </xf>
    <xf numFmtId="166" fontId="20" fillId="0" borderId="146" xfId="1" applyNumberFormat="1" applyFont="1" applyFill="1" applyBorder="1" applyAlignment="1" applyProtection="1">
      <alignment horizontal="right" vertical="center" wrapText="1"/>
    </xf>
    <xf numFmtId="0" fontId="20" fillId="0" borderId="0" xfId="1" applyFont="1" applyFill="1" applyBorder="1" applyAlignment="1" applyProtection="1">
      <alignment horizontal="center" vertical="center" wrapText="1"/>
    </xf>
    <xf numFmtId="166" fontId="19" fillId="7" borderId="27" xfId="1" applyNumberFormat="1" applyFill="1" applyBorder="1" applyAlignment="1" applyProtection="1">
      <alignment horizontal="right" vertical="center" wrapText="1"/>
    </xf>
    <xf numFmtId="43" fontId="10" fillId="7" borderId="25" xfId="2" applyFont="1" applyFill="1" applyBorder="1" applyAlignment="1" applyProtection="1">
      <alignment horizontal="right" vertical="center" wrapText="1"/>
    </xf>
    <xf numFmtId="166" fontId="19" fillId="6" borderId="152" xfId="1" applyNumberFormat="1" applyFill="1" applyBorder="1" applyAlignment="1" applyProtection="1">
      <alignment horizontal="right" vertical="center" wrapText="1"/>
    </xf>
    <xf numFmtId="0" fontId="30" fillId="7" borderId="152" xfId="1" applyFont="1" applyFill="1" applyBorder="1" applyAlignment="1" applyProtection="1">
      <alignment horizontal="center" vertical="center" wrapText="1"/>
    </xf>
    <xf numFmtId="0" fontId="19" fillId="0" borderId="153" xfId="1" applyFill="1" applyBorder="1" applyAlignment="1" applyProtection="1">
      <alignment horizontal="center" wrapText="1"/>
      <protection locked="0"/>
    </xf>
    <xf numFmtId="0" fontId="19" fillId="0" borderId="154" xfId="1" applyFill="1" applyBorder="1" applyAlignment="1" applyProtection="1">
      <alignment horizontal="center" wrapText="1"/>
      <protection locked="0"/>
    </xf>
    <xf numFmtId="0" fontId="19" fillId="0" borderId="154" xfId="1" applyFill="1" applyBorder="1" applyAlignment="1" applyProtection="1">
      <alignment horizontal="left" wrapText="1"/>
    </xf>
    <xf numFmtId="166" fontId="19" fillId="0" borderId="154" xfId="1" applyNumberFormat="1" applyFill="1" applyBorder="1" applyAlignment="1" applyProtection="1">
      <alignment horizontal="right" wrapText="1"/>
    </xf>
    <xf numFmtId="0" fontId="19" fillId="0" borderId="154" xfId="1" applyFill="1" applyBorder="1" applyAlignment="1" applyProtection="1">
      <alignment horizontal="center" wrapText="1"/>
    </xf>
    <xf numFmtId="0" fontId="19" fillId="0" borderId="156" xfId="1" applyFill="1" applyBorder="1" applyAlignment="1" applyProtection="1">
      <alignment horizontal="center" wrapText="1"/>
      <protection locked="0"/>
    </xf>
    <xf numFmtId="0" fontId="19" fillId="0" borderId="157" xfId="1" applyFill="1" applyBorder="1" applyAlignment="1" applyProtection="1">
      <alignment horizontal="center" wrapText="1"/>
      <protection locked="0"/>
    </xf>
    <xf numFmtId="0" fontId="19" fillId="0" borderId="157" xfId="1" applyFill="1" applyBorder="1" applyAlignment="1" applyProtection="1">
      <alignment horizontal="left" wrapText="1"/>
    </xf>
    <xf numFmtId="166" fontId="19" fillId="0" borderId="157" xfId="1" applyNumberFormat="1" applyFill="1" applyBorder="1" applyAlignment="1" applyProtection="1">
      <alignment horizontal="right" wrapText="1"/>
    </xf>
    <xf numFmtId="0" fontId="19" fillId="0" borderId="157" xfId="1" applyFill="1" applyBorder="1" applyAlignment="1" applyProtection="1">
      <alignment horizontal="center" wrapText="1"/>
    </xf>
    <xf numFmtId="43" fontId="0" fillId="0" borderId="157" xfId="2" applyFont="1" applyFill="1" applyBorder="1" applyAlignment="1" applyProtection="1">
      <alignment horizontal="right" wrapText="1"/>
      <protection locked="0"/>
    </xf>
    <xf numFmtId="0" fontId="19" fillId="0" borderId="159" xfId="1" applyFill="1" applyBorder="1" applyAlignment="1" applyProtection="1">
      <alignment horizontal="center" wrapText="1"/>
      <protection locked="0"/>
    </xf>
    <xf numFmtId="0" fontId="19" fillId="0" borderId="160" xfId="1" applyFill="1" applyBorder="1" applyAlignment="1" applyProtection="1">
      <alignment horizontal="center" wrapText="1"/>
    </xf>
    <xf numFmtId="0" fontId="19" fillId="0" borderId="160" xfId="1" applyFill="1" applyBorder="1" applyAlignment="1" applyProtection="1">
      <alignment horizontal="left" wrapText="1"/>
    </xf>
    <xf numFmtId="166" fontId="19" fillId="0" borderId="160" xfId="1" applyNumberFormat="1" applyFill="1" applyBorder="1" applyAlignment="1" applyProtection="1">
      <alignment horizontal="right" wrapText="1"/>
    </xf>
    <xf numFmtId="166" fontId="19" fillId="0" borderId="0" xfId="1" applyNumberFormat="1" applyFill="1" applyBorder="1" applyAlignment="1" applyProtection="1">
      <alignment horizontal="center" vertical="center" wrapText="1"/>
    </xf>
    <xf numFmtId="166" fontId="19" fillId="0" borderId="154" xfId="1" applyNumberFormat="1" applyFill="1" applyBorder="1" applyAlignment="1" applyProtection="1">
      <alignment horizontal="center" wrapText="1"/>
    </xf>
    <xf numFmtId="166" fontId="19" fillId="0" borderId="157" xfId="1" applyNumberFormat="1" applyFill="1" applyBorder="1" applyAlignment="1" applyProtection="1">
      <alignment horizontal="center" wrapText="1"/>
    </xf>
    <xf numFmtId="166" fontId="19" fillId="0" borderId="160" xfId="1" applyNumberFormat="1" applyFill="1" applyBorder="1" applyAlignment="1" applyProtection="1">
      <alignment horizontal="center" wrapText="1"/>
    </xf>
    <xf numFmtId="43" fontId="10" fillId="0" borderId="154" xfId="2" applyFont="1" applyFill="1" applyBorder="1" applyAlignment="1" applyProtection="1">
      <alignment horizontal="right" wrapText="1"/>
      <protection locked="0"/>
    </xf>
    <xf numFmtId="0" fontId="19" fillId="0" borderId="155" xfId="1" applyNumberFormat="1" applyFill="1" applyBorder="1" applyAlignment="1" applyProtection="1">
      <alignment horizontal="left" wrapText="1"/>
      <protection locked="0"/>
    </xf>
    <xf numFmtId="0" fontId="19" fillId="0" borderId="158" xfId="1" applyNumberFormat="1" applyFill="1" applyBorder="1" applyAlignment="1" applyProtection="1">
      <alignment horizontal="left" wrapText="1"/>
      <protection locked="0"/>
    </xf>
    <xf numFmtId="0" fontId="19" fillId="0" borderId="161" xfId="1" applyNumberFormat="1" applyFill="1" applyBorder="1" applyAlignment="1" applyProtection="1">
      <alignment horizontal="left" wrapText="1"/>
      <protection locked="0"/>
    </xf>
    <xf numFmtId="43" fontId="0" fillId="0" borderId="160" xfId="2" applyFont="1" applyFill="1" applyBorder="1" applyAlignment="1" applyProtection="1">
      <alignment horizontal="right" wrapText="1"/>
      <protection locked="0"/>
    </xf>
    <xf numFmtId="0" fontId="19" fillId="0" borderId="160" xfId="1" applyFill="1" applyBorder="1" applyAlignment="1" applyProtection="1">
      <alignment horizontal="center" wrapText="1"/>
      <protection locked="0"/>
    </xf>
    <xf numFmtId="0" fontId="2" fillId="9" borderId="164" xfId="69" applyFill="1" applyBorder="1"/>
    <xf numFmtId="174" fontId="2" fillId="0" borderId="165" xfId="69" applyNumberFormat="1" applyFill="1" applyBorder="1"/>
    <xf numFmtId="174" fontId="31" fillId="9" borderId="166" xfId="69" applyNumberFormat="1" applyFont="1" applyFill="1" applyBorder="1" applyAlignment="1">
      <alignment horizontal="center" vertical="center"/>
    </xf>
    <xf numFmtId="174" fontId="2" fillId="9" borderId="166" xfId="69" applyNumberFormat="1" applyFill="1" applyBorder="1"/>
    <xf numFmtId="43" fontId="31" fillId="7" borderId="167" xfId="70" applyFont="1" applyFill="1" applyBorder="1"/>
    <xf numFmtId="0" fontId="2" fillId="0" borderId="0" xfId="69"/>
    <xf numFmtId="0" fontId="2" fillId="9" borderId="168" xfId="69" applyFill="1" applyBorder="1"/>
    <xf numFmtId="174" fontId="31" fillId="9" borderId="169" xfId="69" applyNumberFormat="1" applyFont="1" applyFill="1" applyBorder="1" applyAlignment="1">
      <alignment horizontal="center" vertical="center"/>
    </xf>
    <xf numFmtId="174" fontId="2" fillId="9" borderId="169" xfId="69" applyNumberFormat="1" applyFill="1" applyBorder="1"/>
    <xf numFmtId="43" fontId="31" fillId="7" borderId="170" xfId="70" applyFont="1" applyFill="1" applyBorder="1"/>
    <xf numFmtId="0" fontId="2" fillId="9" borderId="171" xfId="69" applyFill="1" applyBorder="1"/>
    <xf numFmtId="174" fontId="31" fillId="9" borderId="172" xfId="69" applyNumberFormat="1" applyFont="1" applyFill="1" applyBorder="1" applyAlignment="1">
      <alignment horizontal="center" vertical="center"/>
    </xf>
    <xf numFmtId="174" fontId="2" fillId="9" borderId="172" xfId="69" applyNumberFormat="1" applyFill="1" applyBorder="1"/>
    <xf numFmtId="43" fontId="31" fillId="7" borderId="173" xfId="70" applyFont="1" applyFill="1" applyBorder="1"/>
    <xf numFmtId="174" fontId="2" fillId="0" borderId="0" xfId="69" applyNumberFormat="1"/>
    <xf numFmtId="174" fontId="31" fillId="0" borderId="0" xfId="69" applyNumberFormat="1" applyFont="1" applyAlignment="1">
      <alignment horizontal="center" vertical="center"/>
    </xf>
    <xf numFmtId="43" fontId="0" fillId="0" borderId="0" xfId="70" applyFont="1"/>
    <xf numFmtId="43" fontId="2" fillId="0" borderId="0" xfId="69" applyNumberFormat="1"/>
    <xf numFmtId="0" fontId="10" fillId="0" borderId="0" xfId="12" applyProtection="1">
      <protection locked="0"/>
    </xf>
    <xf numFmtId="0" fontId="10" fillId="0" borderId="0" xfId="12" applyAlignment="1" applyProtection="1">
      <alignment wrapText="1"/>
      <protection locked="0"/>
    </xf>
    <xf numFmtId="166" fontId="10" fillId="0" borderId="0" xfId="12" applyNumberFormat="1" applyProtection="1">
      <protection locked="0"/>
    </xf>
    <xf numFmtId="175" fontId="10" fillId="0" borderId="145" xfId="12" applyNumberFormat="1" applyBorder="1" applyAlignment="1" applyProtection="1">
      <alignment horizontal="center" vertical="center" wrapText="1"/>
      <protection locked="0"/>
    </xf>
    <xf numFmtId="0" fontId="10" fillId="0" borderId="145" xfId="12" applyBorder="1" applyAlignment="1" applyProtection="1">
      <alignment horizontal="center" vertical="center" wrapText="1"/>
      <protection locked="0"/>
    </xf>
    <xf numFmtId="0" fontId="10" fillId="0" borderId="145" xfId="12" applyBorder="1" applyAlignment="1" applyProtection="1">
      <alignment vertical="center" wrapText="1"/>
      <protection locked="0"/>
    </xf>
    <xf numFmtId="166" fontId="10" fillId="0" borderId="145" xfId="12" applyNumberFormat="1" applyBorder="1" applyAlignment="1" applyProtection="1">
      <alignment horizontal="center" vertical="center" wrapText="1"/>
      <protection locked="0"/>
    </xf>
    <xf numFmtId="2" fontId="10" fillId="0" borderId="22" xfId="12" applyNumberFormat="1" applyBorder="1" applyAlignment="1" applyProtection="1">
      <alignment horizontal="center" vertical="center" wrapText="1"/>
      <protection locked="0"/>
    </xf>
    <xf numFmtId="8" fontId="10" fillId="0" borderId="145" xfId="12" applyNumberFormat="1" applyBorder="1" applyAlignment="1" applyProtection="1">
      <alignment horizontal="center" vertical="center" wrapText="1"/>
      <protection locked="0"/>
    </xf>
    <xf numFmtId="0" fontId="10" fillId="0" borderId="22" xfId="12" applyNumberFormat="1" applyBorder="1" applyAlignment="1" applyProtection="1">
      <alignment horizontal="center" vertical="center" wrapText="1"/>
      <protection locked="0"/>
    </xf>
    <xf numFmtId="0" fontId="10" fillId="0" borderId="145" xfId="12" applyFont="1" applyBorder="1" applyAlignment="1" applyProtection="1">
      <alignment vertical="center" wrapText="1"/>
      <protection locked="0"/>
    </xf>
    <xf numFmtId="0" fontId="10" fillId="0" borderId="145" xfId="12" applyFill="1" applyBorder="1" applyAlignment="1" applyProtection="1">
      <alignment vertical="center" wrapText="1"/>
      <protection locked="0"/>
    </xf>
    <xf numFmtId="0" fontId="10" fillId="0" borderId="145" xfId="12" applyFont="1" applyFill="1" applyBorder="1" applyAlignment="1" applyProtection="1">
      <alignment vertical="center" wrapText="1"/>
      <protection locked="0"/>
    </xf>
    <xf numFmtId="2" fontId="33" fillId="0" borderId="63" xfId="12" applyNumberFormat="1" applyFont="1" applyBorder="1" applyAlignment="1" applyProtection="1">
      <alignment horizontal="center" vertical="center" wrapText="1"/>
      <protection locked="0"/>
    </xf>
    <xf numFmtId="14" fontId="10" fillId="0" borderId="0" xfId="12" applyNumberFormat="1" applyFill="1" applyAlignment="1">
      <alignment horizontal="left" vertical="top"/>
    </xf>
    <xf numFmtId="0" fontId="10" fillId="0" borderId="0" xfId="72" applyFont="1" applyFill="1" applyBorder="1" applyAlignment="1">
      <alignment horizontal="left" vertical="top" wrapText="1"/>
    </xf>
    <xf numFmtId="8" fontId="10" fillId="0" borderId="0" xfId="72" applyNumberFormat="1" applyFont="1" applyFill="1" applyBorder="1" applyAlignment="1">
      <alignment horizontal="left" vertical="top" wrapText="1"/>
    </xf>
    <xf numFmtId="49" fontId="10" fillId="0" borderId="0" xfId="72" applyNumberFormat="1" applyFont="1" applyFill="1" applyBorder="1" applyAlignment="1">
      <alignment horizontal="center" vertical="top" wrapText="1"/>
    </xf>
    <xf numFmtId="0" fontId="10" fillId="0" borderId="0" xfId="72" applyFont="1" applyFill="1" applyBorder="1" applyAlignment="1">
      <alignment horizontal="left" vertical="top"/>
    </xf>
    <xf numFmtId="166" fontId="10" fillId="0" borderId="0" xfId="72" applyNumberFormat="1" applyFont="1" applyFill="1" applyBorder="1" applyAlignment="1">
      <alignment horizontal="left" vertical="top" wrapText="1"/>
    </xf>
    <xf numFmtId="49" fontId="10" fillId="0" borderId="0" xfId="72" applyNumberFormat="1" applyFont="1" applyFill="1" applyBorder="1" applyAlignment="1">
      <alignment horizontal="center" vertical="top"/>
    </xf>
    <xf numFmtId="14" fontId="34" fillId="0" borderId="0" xfId="12" applyNumberFormat="1" applyFont="1" applyFill="1" applyAlignment="1">
      <alignment horizontal="left" vertical="top"/>
    </xf>
    <xf numFmtId="166" fontId="10" fillId="0" borderId="0" xfId="12" applyNumberFormat="1" applyFill="1" applyAlignment="1">
      <alignment horizontal="left" vertical="top"/>
    </xf>
    <xf numFmtId="166" fontId="34" fillId="0" borderId="0" xfId="12" applyNumberFormat="1" applyFont="1" applyFill="1" applyAlignment="1">
      <alignment horizontal="left" vertical="top"/>
    </xf>
    <xf numFmtId="0" fontId="35" fillId="0" borderId="0" xfId="72" applyFont="1" applyFill="1" applyBorder="1" applyAlignment="1">
      <alignment horizontal="left" vertical="top" wrapText="1"/>
    </xf>
    <xf numFmtId="0" fontId="36" fillId="0" borderId="0" xfId="72" applyFont="1" applyFill="1" applyBorder="1" applyAlignment="1">
      <alignment horizontal="left" vertical="top" wrapText="1"/>
    </xf>
    <xf numFmtId="49" fontId="36" fillId="0" borderId="0" xfId="72" applyNumberFormat="1" applyFont="1" applyFill="1" applyBorder="1" applyAlignment="1">
      <alignment horizontal="center" vertical="top" wrapText="1"/>
    </xf>
    <xf numFmtId="0" fontId="10" fillId="0" borderId="0" xfId="72" applyFont="1" applyFill="1" applyBorder="1" applyAlignment="1" applyProtection="1">
      <alignment horizontal="left" vertical="top" wrapText="1"/>
      <protection locked="0"/>
    </xf>
    <xf numFmtId="8" fontId="10" fillId="0" borderId="0" xfId="72" applyNumberFormat="1" applyFont="1" applyFill="1" applyBorder="1" applyAlignment="1" applyProtection="1">
      <alignment horizontal="left" vertical="top" wrapText="1"/>
      <protection locked="0"/>
    </xf>
    <xf numFmtId="49" fontId="10" fillId="0" borderId="0" xfId="72" applyNumberFormat="1" applyFont="1" applyFill="1" applyBorder="1" applyAlignment="1" applyProtection="1">
      <alignment horizontal="center" vertical="top" wrapText="1"/>
      <protection locked="0"/>
    </xf>
    <xf numFmtId="166" fontId="37" fillId="0" borderId="0" xfId="72" applyNumberFormat="1" applyFont="1" applyFill="1" applyBorder="1" applyAlignment="1">
      <alignment horizontal="left" vertical="top" wrapText="1"/>
    </xf>
    <xf numFmtId="0" fontId="35" fillId="0" borderId="0" xfId="72" applyFont="1" applyFill="1" applyBorder="1" applyAlignment="1" applyProtection="1">
      <alignment horizontal="left" vertical="top" wrapText="1"/>
      <protection locked="0"/>
    </xf>
    <xf numFmtId="0" fontId="10" fillId="0" borderId="140" xfId="12" applyBorder="1" applyAlignment="1" applyProtection="1">
      <alignment horizontal="center" vertical="center" wrapText="1"/>
      <protection locked="0"/>
    </xf>
    <xf numFmtId="0" fontId="10" fillId="0" borderId="140" xfId="12" applyBorder="1" applyAlignment="1" applyProtection="1">
      <alignment vertical="center" wrapText="1"/>
      <protection locked="0"/>
    </xf>
    <xf numFmtId="166" fontId="10" fillId="0" borderId="0" xfId="12" applyNumberFormat="1" applyAlignment="1" applyProtection="1">
      <alignment horizontal="center" vertical="center" wrapText="1"/>
      <protection locked="0"/>
    </xf>
    <xf numFmtId="0" fontId="10" fillId="0" borderId="138" xfId="12" applyNumberFormat="1" applyBorder="1" applyAlignment="1" applyProtection="1">
      <alignment horizontal="center" vertical="center" wrapText="1"/>
      <protection locked="0"/>
    </xf>
    <xf numFmtId="0" fontId="10" fillId="0" borderId="145" xfId="12" applyNumberFormat="1" applyBorder="1" applyAlignment="1" applyProtection="1">
      <alignment horizontal="center" vertical="center" wrapText="1"/>
      <protection locked="0"/>
    </xf>
    <xf numFmtId="0" fontId="10" fillId="0" borderId="145" xfId="12" applyBorder="1" applyProtection="1">
      <protection locked="0"/>
    </xf>
    <xf numFmtId="166" fontId="10" fillId="0" borderId="145" xfId="12" applyNumberFormat="1" applyBorder="1" applyProtection="1">
      <protection locked="0"/>
    </xf>
    <xf numFmtId="7" fontId="13" fillId="10" borderId="145" xfId="3" applyNumberFormat="1" applyFont="1" applyFill="1" applyBorder="1" applyAlignment="1" applyProtection="1">
      <alignment horizontal="center" vertical="center" wrapText="1"/>
      <protection locked="0"/>
    </xf>
    <xf numFmtId="0" fontId="13" fillId="10" borderId="145" xfId="12" applyFont="1" applyFill="1" applyBorder="1" applyAlignment="1" applyProtection="1">
      <alignment horizontal="center" vertical="center" wrapText="1"/>
      <protection locked="0"/>
    </xf>
    <xf numFmtId="0" fontId="39" fillId="0" borderId="0" xfId="12" applyFont="1" applyBorder="1" applyAlignment="1" applyProtection="1">
      <alignment horizontal="center" vertical="center"/>
      <protection locked="0"/>
    </xf>
    <xf numFmtId="0" fontId="8" fillId="2" borderId="179" xfId="0" applyFont="1" applyFill="1" applyBorder="1" applyAlignment="1">
      <alignment horizontal="center" vertical="center" wrapText="1"/>
    </xf>
    <xf numFmtId="0" fontId="4" fillId="0" borderId="180" xfId="0" applyFont="1" applyBorder="1" applyAlignment="1">
      <alignment horizontal="center" vertical="top"/>
    </xf>
    <xf numFmtId="3" fontId="4" fillId="0" borderId="181" xfId="0" applyNumberFormat="1" applyFont="1" applyBorder="1" applyAlignment="1">
      <alignment horizontal="center" vertical="top"/>
    </xf>
    <xf numFmtId="0" fontId="4" fillId="0" borderId="175" xfId="0" applyFont="1" applyBorder="1" applyAlignment="1">
      <alignment vertical="top"/>
    </xf>
    <xf numFmtId="0" fontId="4" fillId="0" borderId="182" xfId="0" applyFont="1" applyBorder="1" applyAlignment="1">
      <alignment horizontal="center" vertical="top"/>
    </xf>
    <xf numFmtId="0" fontId="4" fillId="0" borderId="183" xfId="0" applyFont="1" applyBorder="1" applyAlignment="1">
      <alignment horizontal="center" vertical="top"/>
    </xf>
    <xf numFmtId="0" fontId="4" fillId="0" borderId="184" xfId="0" applyFont="1" applyBorder="1" applyAlignment="1">
      <alignment horizontal="center" vertical="top"/>
    </xf>
    <xf numFmtId="0" fontId="4" fillId="0" borderId="185" xfId="0" applyFont="1" applyBorder="1" applyAlignment="1">
      <alignment horizontal="center" vertical="top"/>
    </xf>
    <xf numFmtId="0" fontId="4" fillId="0" borderId="186" xfId="0" applyFont="1" applyFill="1" applyBorder="1" applyAlignment="1">
      <alignment vertical="top"/>
    </xf>
    <xf numFmtId="44" fontId="4" fillId="0" borderId="79" xfId="71" applyFont="1" applyBorder="1" applyAlignment="1">
      <alignment horizontal="right" vertical="top"/>
    </xf>
    <xf numFmtId="44" fontId="4" fillId="3" borderId="51" xfId="71" applyFont="1" applyFill="1" applyBorder="1" applyAlignment="1">
      <alignment horizontal="center" vertical="top"/>
    </xf>
    <xf numFmtId="44" fontId="4" fillId="0" borderId="8" xfId="71" applyFont="1" applyBorder="1" applyAlignment="1">
      <alignment vertical="top"/>
    </xf>
    <xf numFmtId="44" fontId="4" fillId="3" borderId="49" xfId="71" applyFont="1" applyFill="1" applyBorder="1" applyAlignment="1">
      <alignment horizontal="center" vertical="top"/>
    </xf>
    <xf numFmtId="44" fontId="4" fillId="0" borderId="8" xfId="71" applyFont="1" applyFill="1" applyBorder="1" applyAlignment="1">
      <alignment vertical="top"/>
    </xf>
    <xf numFmtId="44" fontId="4" fillId="3" borderId="187" xfId="71" applyFont="1" applyFill="1" applyBorder="1" applyAlignment="1">
      <alignment horizontal="center" vertical="top"/>
    </xf>
    <xf numFmtId="44" fontId="16" fillId="3" borderId="51" xfId="71" applyFont="1" applyFill="1" applyBorder="1" applyAlignment="1">
      <alignment vertical="center"/>
    </xf>
    <xf numFmtId="44" fontId="4" fillId="3" borderId="60" xfId="71" applyFont="1" applyFill="1" applyBorder="1" applyAlignment="1">
      <alignment horizontal="center" vertical="top"/>
    </xf>
    <xf numFmtId="44" fontId="4" fillId="0" borderId="0" xfId="71" applyFont="1" applyBorder="1" applyAlignment="1">
      <alignment vertical="top"/>
    </xf>
    <xf numFmtId="44" fontId="4" fillId="0" borderId="37" xfId="71" applyFont="1" applyBorder="1" applyAlignment="1">
      <alignment vertical="top"/>
    </xf>
    <xf numFmtId="44" fontId="4" fillId="0" borderId="40" xfId="71" applyFont="1" applyFill="1" applyBorder="1" applyAlignment="1">
      <alignment vertical="top"/>
    </xf>
    <xf numFmtId="44" fontId="4" fillId="0" borderId="0" xfId="71" applyFont="1" applyFill="1" applyBorder="1" applyAlignment="1">
      <alignment vertical="top"/>
    </xf>
    <xf numFmtId="44" fontId="4" fillId="0" borderId="36" xfId="71" applyFont="1" applyBorder="1" applyAlignment="1">
      <alignment vertical="top"/>
    </xf>
    <xf numFmtId="44" fontId="4" fillId="0" borderId="174" xfId="71" applyFont="1" applyBorder="1" applyAlignment="1">
      <alignment vertical="top"/>
    </xf>
    <xf numFmtId="44" fontId="4" fillId="0" borderId="45" xfId="71" applyFont="1" applyBorder="1" applyAlignment="1">
      <alignment vertical="top"/>
    </xf>
    <xf numFmtId="44" fontId="4" fillId="0" borderId="176" xfId="71" applyFont="1" applyBorder="1" applyAlignment="1">
      <alignment vertical="top"/>
    </xf>
    <xf numFmtId="44" fontId="4" fillId="0" borderId="177" xfId="71" applyFont="1" applyBorder="1" applyAlignment="1">
      <alignment vertical="top"/>
    </xf>
    <xf numFmtId="44" fontId="4" fillId="0" borderId="10" xfId="71" applyFont="1" applyBorder="1" applyAlignment="1">
      <alignment vertical="top"/>
    </xf>
    <xf numFmtId="44" fontId="4" fillId="3" borderId="178" xfId="71" applyFont="1" applyFill="1" applyBorder="1" applyAlignment="1">
      <alignment horizontal="center" vertical="top"/>
    </xf>
    <xf numFmtId="44" fontId="4" fillId="3" borderId="175" xfId="71" applyFont="1" applyFill="1" applyBorder="1" applyAlignment="1">
      <alignment horizontal="center" vertical="top"/>
    </xf>
    <xf numFmtId="0" fontId="4" fillId="0" borderId="189" xfId="0" applyFont="1" applyBorder="1" applyAlignment="1">
      <alignment horizontal="center" vertical="top"/>
    </xf>
    <xf numFmtId="0" fontId="4" fillId="0" borderId="188" xfId="0" applyFont="1" applyBorder="1" applyAlignment="1">
      <alignment horizontal="center" vertical="top"/>
    </xf>
    <xf numFmtId="0" fontId="4" fillId="0" borderId="186" xfId="0" applyFont="1" applyBorder="1" applyAlignment="1">
      <alignment vertical="top"/>
    </xf>
    <xf numFmtId="44" fontId="4" fillId="0" borderId="58" xfId="71" applyFont="1" applyBorder="1" applyAlignment="1">
      <alignment vertical="top"/>
    </xf>
    <xf numFmtId="0" fontId="4" fillId="0" borderId="190" xfId="0" applyFont="1" applyBorder="1" applyAlignment="1">
      <alignment vertical="top"/>
    </xf>
    <xf numFmtId="44" fontId="4" fillId="0" borderId="191" xfId="71" applyFont="1" applyBorder="1" applyAlignment="1">
      <alignment vertical="top"/>
    </xf>
    <xf numFmtId="3" fontId="4" fillId="3" borderId="15" xfId="0" applyNumberFormat="1" applyFont="1" applyFill="1" applyBorder="1" applyAlignment="1">
      <alignment horizontal="center" vertical="top"/>
    </xf>
    <xf numFmtId="44" fontId="4" fillId="3" borderId="192" xfId="71" applyFont="1" applyFill="1" applyBorder="1" applyAlignment="1">
      <alignment horizontal="center" vertical="top"/>
    </xf>
    <xf numFmtId="3" fontId="4" fillId="3" borderId="193" xfId="0" applyNumberFormat="1" applyFont="1" applyFill="1" applyBorder="1" applyAlignment="1">
      <alignment horizontal="center" vertical="top"/>
    </xf>
    <xf numFmtId="44" fontId="4" fillId="3" borderId="18" xfId="71" applyFont="1" applyFill="1" applyBorder="1" applyAlignment="1">
      <alignment horizontal="center" vertical="top"/>
    </xf>
    <xf numFmtId="0" fontId="30" fillId="7" borderId="162" xfId="1" applyFont="1" applyFill="1" applyBorder="1" applyAlignment="1" applyProtection="1">
      <alignment horizontal="center" vertical="center"/>
    </xf>
    <xf numFmtId="0" fontId="30" fillId="7" borderId="163" xfId="1" applyFont="1" applyFill="1" applyBorder="1" applyAlignment="1" applyProtection="1">
      <alignment horizontal="center" vertical="center"/>
    </xf>
    <xf numFmtId="43" fontId="20" fillId="6" borderId="25" xfId="2" applyFont="1" applyFill="1" applyBorder="1" applyAlignment="1" applyProtection="1">
      <alignment horizontal="center" vertical="center" wrapText="1"/>
    </xf>
    <xf numFmtId="43" fontId="20" fillId="6" borderId="27" xfId="2" applyFont="1" applyFill="1" applyBorder="1" applyAlignment="1" applyProtection="1">
      <alignment horizontal="center" vertical="center" wrapText="1"/>
    </xf>
    <xf numFmtId="0" fontId="12" fillId="0" borderId="34" xfId="0" applyFont="1" applyBorder="1" applyAlignment="1">
      <alignment horizontal="right" vertical="top"/>
    </xf>
    <xf numFmtId="0" fontId="0" fillId="0" borderId="34" xfId="0" applyBorder="1" applyAlignment="1"/>
    <xf numFmtId="0" fontId="0" fillId="0" borderId="89" xfId="0" applyBorder="1" applyAlignment="1"/>
    <xf numFmtId="0" fontId="5" fillId="3" borderId="0" xfId="0" applyFont="1" applyFill="1" applyBorder="1" applyAlignment="1">
      <alignment horizontal="left" vertical="top" wrapText="1"/>
    </xf>
    <xf numFmtId="0" fontId="5" fillId="3" borderId="0" xfId="0" applyFont="1" applyFill="1" applyBorder="1" applyAlignment="1">
      <alignment horizontal="left" vertical="top"/>
    </xf>
    <xf numFmtId="0" fontId="13" fillId="3" borderId="0" xfId="0" applyFont="1" applyFill="1" applyBorder="1" applyAlignment="1">
      <alignment horizontal="left" vertical="top"/>
    </xf>
    <xf numFmtId="0" fontId="13" fillId="3" borderId="8" xfId="0" applyFont="1" applyFill="1" applyBorder="1" applyAlignment="1">
      <alignment horizontal="left" vertical="top"/>
    </xf>
    <xf numFmtId="0" fontId="9" fillId="0" borderId="103" xfId="0" applyFont="1" applyBorder="1" applyAlignment="1">
      <alignment horizontal="center" vertical="center"/>
    </xf>
    <xf numFmtId="0" fontId="0" fillId="0" borderId="104" xfId="0" applyBorder="1" applyAlignment="1">
      <alignment horizontal="center" vertical="center"/>
    </xf>
    <xf numFmtId="0" fontId="0" fillId="0" borderId="105" xfId="0" applyBorder="1" applyAlignment="1">
      <alignment horizontal="center" vertical="center"/>
    </xf>
    <xf numFmtId="0" fontId="5" fillId="0" borderId="113" xfId="0" applyFont="1" applyBorder="1" applyAlignment="1">
      <alignment horizontal="center" vertical="center"/>
    </xf>
    <xf numFmtId="0" fontId="5" fillId="0" borderId="107" xfId="0" applyFont="1" applyBorder="1" applyAlignment="1">
      <alignment horizontal="center" vertical="center"/>
    </xf>
    <xf numFmtId="0" fontId="13" fillId="0" borderId="114" xfId="0" applyFont="1" applyBorder="1" applyAlignment="1">
      <alignment horizontal="center"/>
    </xf>
    <xf numFmtId="0" fontId="4" fillId="0" borderId="94" xfId="0" applyFont="1" applyBorder="1" applyAlignment="1">
      <alignment horizontal="center" vertical="center"/>
    </xf>
    <xf numFmtId="0" fontId="4" fillId="0" borderId="75" xfId="0" applyFont="1" applyBorder="1" applyAlignment="1">
      <alignment horizontal="center" vertical="center"/>
    </xf>
    <xf numFmtId="0" fontId="0" fillId="0" borderId="76" xfId="0" applyBorder="1" applyAlignment="1"/>
    <xf numFmtId="0" fontId="15" fillId="0" borderId="0" xfId="0" applyFont="1" applyBorder="1" applyAlignment="1">
      <alignment horizontal="right" vertical="center"/>
    </xf>
    <xf numFmtId="0" fontId="12" fillId="0" borderId="0" xfId="0" applyFont="1" applyBorder="1" applyAlignment="1">
      <alignment horizontal="right" vertical="top"/>
    </xf>
    <xf numFmtId="0" fontId="0" fillId="0" borderId="0" xfId="0" applyAlignment="1">
      <alignment vertical="top"/>
    </xf>
    <xf numFmtId="0" fontId="9" fillId="0" borderId="0" xfId="0" applyFont="1" applyBorder="1" applyAlignment="1">
      <alignment horizontal="center" vertical="top"/>
    </xf>
    <xf numFmtId="0" fontId="4" fillId="0" borderId="94" xfId="0" applyFont="1" applyBorder="1" applyAlignment="1">
      <alignment horizontal="center" vertical="center" wrapText="1"/>
    </xf>
    <xf numFmtId="0" fontId="4" fillId="0" borderId="75" xfId="0" applyFont="1" applyBorder="1" applyAlignment="1">
      <alignment horizontal="center" vertical="center" wrapText="1"/>
    </xf>
    <xf numFmtId="0" fontId="4" fillId="0" borderId="95" xfId="0" applyFont="1" applyBorder="1" applyAlignment="1">
      <alignment horizontal="center" vertical="center" wrapText="1"/>
    </xf>
    <xf numFmtId="0" fontId="5" fillId="0" borderId="93" xfId="0" applyFont="1" applyBorder="1" applyAlignment="1">
      <alignment horizontal="center" vertical="center"/>
    </xf>
    <xf numFmtId="0" fontId="5" fillId="0" borderId="91" xfId="0" applyFont="1" applyBorder="1" applyAlignment="1">
      <alignment horizontal="center" vertical="center"/>
    </xf>
    <xf numFmtId="0" fontId="5" fillId="0" borderId="92" xfId="0" applyFont="1" applyBorder="1" applyAlignment="1">
      <alignment horizontal="center" vertical="center"/>
    </xf>
    <xf numFmtId="0" fontId="13" fillId="0" borderId="108" xfId="0" applyFont="1" applyBorder="1"/>
    <xf numFmtId="0" fontId="13" fillId="0" borderId="109" xfId="0" applyFont="1" applyBorder="1"/>
    <xf numFmtId="0" fontId="8" fillId="2" borderId="110" xfId="0" applyFont="1" applyFill="1" applyBorder="1" applyAlignment="1">
      <alignment horizontal="center" vertical="center" wrapText="1"/>
    </xf>
    <xf numFmtId="0" fontId="8" fillId="2" borderId="111" xfId="0" applyFont="1" applyFill="1" applyBorder="1" applyAlignment="1">
      <alignment horizontal="center" vertical="center" wrapText="1"/>
    </xf>
    <xf numFmtId="0" fontId="8" fillId="2" borderId="112" xfId="0" applyFont="1" applyFill="1" applyBorder="1" applyAlignment="1">
      <alignment horizontal="center" vertical="center" wrapText="1"/>
    </xf>
    <xf numFmtId="0" fontId="8" fillId="2" borderId="14" xfId="0" applyFont="1" applyFill="1" applyBorder="1" applyAlignment="1">
      <alignment horizontal="center" vertical="center" wrapText="1"/>
    </xf>
    <xf numFmtId="0" fontId="8" fillId="2" borderId="86" xfId="0" applyFont="1" applyFill="1" applyBorder="1" applyAlignment="1">
      <alignment horizontal="center" vertical="center"/>
    </xf>
    <xf numFmtId="0" fontId="8" fillId="2" borderId="49" xfId="0" applyFont="1" applyFill="1" applyBorder="1" applyAlignment="1">
      <alignment horizontal="center" vertical="center"/>
    </xf>
    <xf numFmtId="0" fontId="17" fillId="0" borderId="104" xfId="0" applyFont="1" applyBorder="1" applyAlignment="1">
      <alignment horizontal="center" vertical="center"/>
    </xf>
    <xf numFmtId="0" fontId="17" fillId="0" borderId="105" xfId="0" applyFont="1" applyBorder="1" applyAlignment="1">
      <alignment horizontal="center" vertical="center"/>
    </xf>
    <xf numFmtId="0" fontId="8" fillId="2" borderId="77" xfId="0" applyFont="1" applyFill="1" applyBorder="1" applyAlignment="1">
      <alignment horizontal="center" vertical="center"/>
    </xf>
    <xf numFmtId="0" fontId="8" fillId="2" borderId="85" xfId="0" applyFont="1" applyFill="1" applyBorder="1" applyAlignment="1">
      <alignment horizontal="center" vertical="center"/>
    </xf>
    <xf numFmtId="3" fontId="10" fillId="3" borderId="96" xfId="0" applyNumberFormat="1" applyFont="1" applyFill="1" applyBorder="1" applyAlignment="1">
      <alignment horizontal="center" vertical="center"/>
    </xf>
    <xf numFmtId="3" fontId="10" fillId="0" borderId="70" xfId="0" applyNumberFormat="1" applyFont="1" applyBorder="1" applyAlignment="1">
      <alignment horizontal="center" vertical="center"/>
    </xf>
    <xf numFmtId="0" fontId="8" fillId="2" borderId="97" xfId="0" applyFont="1" applyFill="1" applyBorder="1" applyAlignment="1">
      <alignment horizontal="center" vertical="center" wrapText="1"/>
    </xf>
    <xf numFmtId="0" fontId="0" fillId="0" borderId="98" xfId="0" applyBorder="1" applyAlignment="1">
      <alignment horizontal="center" vertical="center" wrapText="1"/>
    </xf>
    <xf numFmtId="0" fontId="8" fillId="2" borderId="99" xfId="0" applyFont="1" applyFill="1" applyBorder="1" applyAlignment="1">
      <alignment horizontal="center" vertical="center" wrapText="1"/>
    </xf>
    <xf numFmtId="0" fontId="0" fillId="0" borderId="100" xfId="0" applyBorder="1" applyAlignment="1">
      <alignment horizontal="center" vertical="center" wrapText="1"/>
    </xf>
    <xf numFmtId="0" fontId="5" fillId="0" borderId="85" xfId="0" applyFont="1" applyBorder="1" applyAlignment="1">
      <alignment horizontal="center" vertical="center"/>
    </xf>
    <xf numFmtId="0" fontId="5" fillId="0" borderId="82" xfId="0" applyFont="1" applyBorder="1" applyAlignment="1">
      <alignment horizontal="center" vertical="center"/>
    </xf>
    <xf numFmtId="0" fontId="5" fillId="0" borderId="86" xfId="0" applyFont="1" applyBorder="1" applyAlignment="1">
      <alignment horizontal="center" vertical="center"/>
    </xf>
    <xf numFmtId="0" fontId="10" fillId="3" borderId="101" xfId="0" applyFont="1" applyFill="1" applyBorder="1" applyAlignment="1">
      <alignment horizontal="center" vertical="center"/>
    </xf>
    <xf numFmtId="0" fontId="0" fillId="0" borderId="101" xfId="0" applyBorder="1" applyAlignment="1">
      <alignment horizontal="center" vertical="center"/>
    </xf>
    <xf numFmtId="0" fontId="5" fillId="0" borderId="87" xfId="0" applyFont="1" applyBorder="1" applyAlignment="1">
      <alignment horizontal="center" vertical="center"/>
    </xf>
    <xf numFmtId="0" fontId="0" fillId="0" borderId="60" xfId="0" applyBorder="1" applyAlignment="1">
      <alignment vertical="center"/>
    </xf>
    <xf numFmtId="168" fontId="5" fillId="0" borderId="87" xfId="0" applyNumberFormat="1" applyFont="1" applyFill="1" applyBorder="1" applyAlignment="1">
      <alignment horizontal="center" vertical="center"/>
    </xf>
    <xf numFmtId="168" fontId="5" fillId="0" borderId="60" xfId="0" applyNumberFormat="1" applyFont="1" applyFill="1" applyBorder="1" applyAlignment="1">
      <alignment horizontal="center" vertical="center"/>
    </xf>
    <xf numFmtId="3" fontId="10" fillId="3" borderId="80" xfId="0" applyNumberFormat="1" applyFont="1" applyFill="1" applyBorder="1" applyAlignment="1">
      <alignment horizontal="center" vertical="center"/>
    </xf>
    <xf numFmtId="3" fontId="0" fillId="3" borderId="70" xfId="0" applyNumberFormat="1" applyFill="1" applyBorder="1" applyAlignment="1">
      <alignment horizontal="center" vertical="center"/>
    </xf>
    <xf numFmtId="170" fontId="10" fillId="3" borderId="102" xfId="0" applyNumberFormat="1" applyFont="1" applyFill="1" applyBorder="1" applyAlignment="1">
      <alignment horizontal="center" vertical="center"/>
    </xf>
    <xf numFmtId="170" fontId="0" fillId="3" borderId="102" xfId="0" applyNumberFormat="1" applyFill="1" applyBorder="1" applyAlignment="1">
      <alignment horizontal="center" vertical="center"/>
    </xf>
    <xf numFmtId="0" fontId="9" fillId="0" borderId="103" xfId="0" applyFont="1" applyBorder="1" applyAlignment="1">
      <alignment horizontal="center" vertical="top"/>
    </xf>
    <xf numFmtId="0" fontId="17" fillId="0" borderId="104" xfId="0" applyFont="1" applyBorder="1" applyAlignment="1">
      <alignment horizontal="center" vertical="top"/>
    </xf>
    <xf numFmtId="0" fontId="17" fillId="0" borderId="105" xfId="0" applyFont="1" applyBorder="1" applyAlignment="1">
      <alignment horizontal="center" vertical="top"/>
    </xf>
    <xf numFmtId="0" fontId="8" fillId="2" borderId="178" xfId="0" applyFont="1" applyFill="1" applyBorder="1" applyAlignment="1">
      <alignment horizontal="center" vertical="center"/>
    </xf>
    <xf numFmtId="0" fontId="8" fillId="2" borderId="106" xfId="0" applyFont="1" applyFill="1" applyBorder="1" applyAlignment="1">
      <alignment horizontal="center" vertical="center"/>
    </xf>
    <xf numFmtId="0" fontId="5" fillId="0" borderId="90" xfId="0" applyFont="1" applyBorder="1" applyAlignment="1">
      <alignment horizontal="center" vertical="center"/>
    </xf>
    <xf numFmtId="0" fontId="4" fillId="0" borderId="74" xfId="0" applyFont="1" applyBorder="1" applyAlignment="1">
      <alignment horizontal="center" vertical="center"/>
    </xf>
    <xf numFmtId="0" fontId="4" fillId="0" borderId="72" xfId="0" applyFont="1" applyBorder="1" applyAlignment="1">
      <alignment horizontal="center" vertical="center"/>
    </xf>
    <xf numFmtId="0" fontId="4" fillId="0" borderId="73" xfId="0" applyFont="1" applyBorder="1" applyAlignment="1">
      <alignment horizontal="center" vertical="center"/>
    </xf>
    <xf numFmtId="0" fontId="0" fillId="0" borderId="75" xfId="0" applyBorder="1"/>
    <xf numFmtId="0" fontId="0" fillId="0" borderId="95" xfId="0" applyBorder="1"/>
    <xf numFmtId="167" fontId="5" fillId="0" borderId="80" xfId="0" applyNumberFormat="1" applyFont="1" applyFill="1" applyBorder="1" applyAlignment="1">
      <alignment horizontal="right" vertical="center"/>
    </xf>
    <xf numFmtId="167" fontId="5" fillId="0" borderId="70" xfId="0" applyNumberFormat="1" applyFont="1" applyFill="1" applyBorder="1" applyAlignment="1">
      <alignment horizontal="right" vertical="center"/>
    </xf>
    <xf numFmtId="0" fontId="0" fillId="0" borderId="34" xfId="0" applyBorder="1" applyAlignment="1">
      <alignment vertical="top"/>
    </xf>
    <xf numFmtId="0" fontId="4" fillId="0" borderId="82" xfId="0" applyFont="1" applyBorder="1" applyAlignment="1">
      <alignment horizontal="center" vertical="center"/>
    </xf>
    <xf numFmtId="0" fontId="4" fillId="0" borderId="86" xfId="0" applyFont="1" applyBorder="1" applyAlignment="1">
      <alignment horizontal="center" vertical="center"/>
    </xf>
    <xf numFmtId="167" fontId="10" fillId="3" borderId="87" xfId="0" applyNumberFormat="1" applyFont="1" applyFill="1" applyBorder="1" applyAlignment="1">
      <alignment horizontal="center" vertical="center"/>
    </xf>
    <xf numFmtId="0" fontId="0" fillId="0" borderId="60" xfId="0" applyBorder="1" applyAlignment="1">
      <alignment horizontal="center" vertical="center"/>
    </xf>
    <xf numFmtId="0" fontId="0" fillId="0" borderId="69" xfId="0" applyBorder="1" applyAlignment="1">
      <alignment horizontal="center" vertical="center"/>
    </xf>
    <xf numFmtId="0" fontId="5" fillId="0" borderId="88" xfId="0" applyFont="1" applyBorder="1" applyAlignment="1">
      <alignment horizontal="center" vertical="center"/>
    </xf>
    <xf numFmtId="0" fontId="5" fillId="0" borderId="69" xfId="0" applyFont="1" applyBorder="1" applyAlignment="1">
      <alignment horizontal="center" vertical="center"/>
    </xf>
    <xf numFmtId="0" fontId="5" fillId="0" borderId="81" xfId="0" applyFont="1" applyBorder="1" applyAlignment="1">
      <alignment horizontal="center" vertical="center"/>
    </xf>
    <xf numFmtId="0" fontId="10" fillId="3" borderId="88" xfId="0" applyFont="1" applyFill="1" applyBorder="1" applyAlignment="1">
      <alignment horizontal="center" vertical="center"/>
    </xf>
    <xf numFmtId="0" fontId="5" fillId="0" borderId="87" xfId="0" applyFont="1" applyFill="1" applyBorder="1" applyAlignment="1">
      <alignment horizontal="right" vertical="center"/>
    </xf>
    <xf numFmtId="0" fontId="5" fillId="0" borderId="69" xfId="0" applyFont="1" applyFill="1" applyBorder="1" applyAlignment="1">
      <alignment horizontal="right" vertical="center"/>
    </xf>
    <xf numFmtId="0" fontId="10" fillId="4" borderId="40" xfId="0" applyFont="1" applyFill="1" applyBorder="1" applyAlignment="1">
      <alignment horizontal="center" vertical="center"/>
    </xf>
    <xf numFmtId="0" fontId="0" fillId="4" borderId="59" xfId="0" applyFill="1" applyBorder="1" applyAlignment="1">
      <alignment horizontal="center" vertical="center"/>
    </xf>
    <xf numFmtId="0" fontId="9" fillId="0" borderId="81" xfId="0" applyFont="1" applyBorder="1" applyAlignment="1">
      <alignment horizontal="left" vertical="center"/>
    </xf>
    <xf numFmtId="0" fontId="0" fillId="0" borderId="82" xfId="0" applyBorder="1" applyAlignment="1">
      <alignment horizontal="left" vertical="center"/>
    </xf>
    <xf numFmtId="0" fontId="0" fillId="0" borderId="83" xfId="0" applyBorder="1" applyAlignment="1">
      <alignment horizontal="left" vertical="center"/>
    </xf>
    <xf numFmtId="0" fontId="0" fillId="0" borderId="0" xfId="0" applyBorder="1" applyAlignment="1">
      <alignment horizontal="left" vertical="top" wrapText="1"/>
    </xf>
    <xf numFmtId="0" fontId="0" fillId="0" borderId="8" xfId="0" applyBorder="1" applyAlignment="1">
      <alignment horizontal="left" vertical="top" wrapText="1"/>
    </xf>
    <xf numFmtId="0" fontId="0" fillId="0" borderId="84" xfId="0" applyBorder="1" applyAlignment="1">
      <alignment horizontal="left" vertical="top" wrapText="1"/>
    </xf>
    <xf numFmtId="0" fontId="0" fillId="0" borderId="59" xfId="0" applyBorder="1" applyAlignment="1">
      <alignment horizontal="left" vertical="top" wrapText="1"/>
    </xf>
    <xf numFmtId="0" fontId="4" fillId="2" borderId="85" xfId="0" applyFont="1" applyFill="1" applyBorder="1" applyAlignment="1">
      <alignment horizontal="center" vertical="top"/>
    </xf>
    <xf numFmtId="0" fontId="0" fillId="2" borderId="86" xfId="0" applyFill="1" applyBorder="1" applyAlignment="1">
      <alignment horizontal="center" vertical="top"/>
    </xf>
    <xf numFmtId="0" fontId="0" fillId="4" borderId="12" xfId="0" applyFill="1" applyBorder="1" applyAlignment="1">
      <alignment horizontal="center" vertical="center"/>
    </xf>
    <xf numFmtId="0" fontId="0" fillId="2" borderId="83" xfId="0" applyFill="1" applyBorder="1" applyAlignment="1">
      <alignment horizontal="center" vertical="top"/>
    </xf>
    <xf numFmtId="0" fontId="5" fillId="3" borderId="0" xfId="0" applyFont="1" applyFill="1" applyBorder="1" applyAlignment="1">
      <alignment vertical="top"/>
    </xf>
    <xf numFmtId="0" fontId="13" fillId="3" borderId="0" xfId="0" applyFont="1" applyFill="1" applyBorder="1" applyAlignment="1">
      <alignment vertical="top"/>
    </xf>
    <xf numFmtId="0" fontId="13" fillId="3" borderId="8" xfId="0" applyFont="1" applyFill="1" applyBorder="1" applyAlignment="1">
      <alignment vertical="top"/>
    </xf>
    <xf numFmtId="0" fontId="10" fillId="3" borderId="84" xfId="0" applyFont="1" applyFill="1" applyBorder="1" applyAlignment="1"/>
    <xf numFmtId="0" fontId="10" fillId="3" borderId="59" xfId="0" applyFont="1" applyFill="1" applyBorder="1" applyAlignment="1"/>
    <xf numFmtId="0" fontId="4" fillId="2" borderId="81" xfId="0" applyFont="1" applyFill="1" applyBorder="1" applyAlignment="1">
      <alignment horizontal="center" vertical="top"/>
    </xf>
    <xf numFmtId="0" fontId="0" fillId="2" borderId="82" xfId="0" applyFill="1" applyBorder="1"/>
    <xf numFmtId="0" fontId="0" fillId="2" borderId="86" xfId="0" applyFill="1" applyBorder="1"/>
    <xf numFmtId="0" fontId="10" fillId="4" borderId="9" xfId="0" applyFont="1" applyFill="1" applyBorder="1"/>
    <xf numFmtId="0" fontId="0" fillId="4" borderId="84" xfId="0" applyFill="1" applyBorder="1"/>
    <xf numFmtId="0" fontId="0" fillId="4" borderId="12" xfId="0" applyFill="1" applyBorder="1"/>
    <xf numFmtId="0" fontId="13" fillId="0" borderId="126" xfId="0" applyFont="1" applyBorder="1" applyAlignment="1">
      <alignment horizontal="center"/>
    </xf>
    <xf numFmtId="0" fontId="13" fillId="0" borderId="127" xfId="0" applyFont="1" applyBorder="1" applyAlignment="1">
      <alignment horizontal="center"/>
    </xf>
    <xf numFmtId="0" fontId="13" fillId="0" borderId="128" xfId="0" applyFont="1" applyBorder="1" applyAlignment="1"/>
    <xf numFmtId="0" fontId="13" fillId="0" borderId="115" xfId="0" applyFont="1" applyBorder="1" applyAlignment="1">
      <alignment horizontal="center"/>
    </xf>
    <xf numFmtId="0" fontId="13" fillId="0" borderId="116" xfId="0" applyFont="1" applyBorder="1" applyAlignment="1">
      <alignment horizontal="center"/>
    </xf>
    <xf numFmtId="0" fontId="13" fillId="0" borderId="129" xfId="0" applyFont="1" applyBorder="1" applyAlignment="1"/>
    <xf numFmtId="0" fontId="10" fillId="0" borderId="127" xfId="0" applyFont="1" applyBorder="1" applyAlignment="1">
      <alignment horizontal="left"/>
    </xf>
    <xf numFmtId="0" fontId="0" fillId="0" borderId="127" xfId="0" applyBorder="1" applyAlignment="1">
      <alignment horizontal="left"/>
    </xf>
    <xf numFmtId="0" fontId="0" fillId="0" borderId="128" xfId="0" applyBorder="1" applyAlignment="1">
      <alignment horizontal="left"/>
    </xf>
    <xf numFmtId="0" fontId="5" fillId="6" borderId="120" xfId="0" applyFont="1" applyFill="1" applyBorder="1" applyAlignment="1">
      <alignment horizontal="left"/>
    </xf>
    <xf numFmtId="0" fontId="5" fillId="6" borderId="130" xfId="0" applyFont="1" applyFill="1" applyBorder="1" applyAlignment="1">
      <alignment horizontal="left"/>
    </xf>
    <xf numFmtId="0" fontId="5" fillId="6" borderId="131" xfId="0" applyFont="1" applyFill="1" applyBorder="1" applyAlignment="1">
      <alignment horizontal="left"/>
    </xf>
    <xf numFmtId="0" fontId="5" fillId="6" borderId="132" xfId="0" applyFont="1" applyFill="1" applyBorder="1" applyAlignment="1">
      <alignment horizontal="center"/>
    </xf>
    <xf numFmtId="0" fontId="5" fillId="6" borderId="19" xfId="0" applyFont="1" applyFill="1" applyBorder="1" applyAlignment="1">
      <alignment horizontal="center"/>
    </xf>
    <xf numFmtId="0" fontId="5" fillId="7" borderId="63" xfId="0" applyFont="1" applyFill="1" applyBorder="1" applyAlignment="1">
      <alignment horizontal="center"/>
    </xf>
    <xf numFmtId="0" fontId="5" fillId="7" borderId="119" xfId="0" applyFont="1" applyFill="1" applyBorder="1" applyAlignment="1">
      <alignment horizontal="center"/>
    </xf>
    <xf numFmtId="0" fontId="5" fillId="7" borderId="124" xfId="0" applyFont="1" applyFill="1" applyBorder="1" applyAlignment="1">
      <alignment horizontal="center"/>
    </xf>
    <xf numFmtId="164" fontId="10" fillId="5" borderId="133" xfId="0" applyNumberFormat="1" applyFont="1" applyFill="1" applyBorder="1" applyAlignment="1">
      <alignment horizontal="center"/>
    </xf>
    <xf numFmtId="164" fontId="10" fillId="5" borderId="117" xfId="0" applyNumberFormat="1" applyFont="1" applyFill="1" applyBorder="1" applyAlignment="1">
      <alignment horizontal="center"/>
    </xf>
    <xf numFmtId="164" fontId="13" fillId="6" borderId="120" xfId="0" applyNumberFormat="1" applyFont="1" applyFill="1" applyBorder="1" applyAlignment="1">
      <alignment horizontal="center"/>
    </xf>
    <xf numFmtId="164" fontId="13" fillId="6" borderId="121" xfId="0" applyNumberFormat="1" applyFont="1" applyFill="1" applyBorder="1" applyAlignment="1">
      <alignment horizontal="center"/>
    </xf>
    <xf numFmtId="0" fontId="5" fillId="6" borderId="118" xfId="0" applyFont="1" applyFill="1" applyBorder="1" applyAlignment="1">
      <alignment horizontal="center"/>
    </xf>
    <xf numFmtId="0" fontId="13" fillId="6" borderId="119" xfId="0" applyFont="1" applyFill="1" applyBorder="1" applyAlignment="1">
      <alignment horizontal="center"/>
    </xf>
    <xf numFmtId="0" fontId="18" fillId="0" borderId="29" xfId="0" applyFont="1" applyBorder="1" applyAlignment="1">
      <alignment horizontal="right"/>
    </xf>
    <xf numFmtId="0" fontId="18" fillId="0" borderId="134" xfId="0" applyFont="1" applyBorder="1" applyAlignment="1">
      <alignment horizontal="right"/>
    </xf>
    <xf numFmtId="166" fontId="0" fillId="0" borderId="135" xfId="0" applyNumberFormat="1" applyBorder="1" applyAlignment="1">
      <alignment horizontal="center"/>
    </xf>
    <xf numFmtId="0" fontId="0" fillId="0" borderId="29" xfId="0" applyBorder="1" applyAlignment="1">
      <alignment horizontal="center"/>
    </xf>
    <xf numFmtId="0" fontId="0" fillId="0" borderId="136" xfId="0" applyBorder="1" applyAlignment="1">
      <alignment horizontal="center"/>
    </xf>
    <xf numFmtId="0" fontId="5" fillId="6" borderId="120" xfId="0" applyFont="1" applyFill="1" applyBorder="1" applyAlignment="1">
      <alignment horizontal="center"/>
    </xf>
    <xf numFmtId="0" fontId="5" fillId="6" borderId="121" xfId="0" applyFont="1" applyFill="1" applyBorder="1" applyAlignment="1">
      <alignment horizontal="center"/>
    </xf>
    <xf numFmtId="0" fontId="5" fillId="6" borderId="119" xfId="0" applyFont="1" applyFill="1" applyBorder="1" applyAlignment="1">
      <alignment horizontal="center"/>
    </xf>
    <xf numFmtId="0" fontId="5" fillId="6" borderId="64" xfId="0" applyFont="1" applyFill="1" applyBorder="1" applyAlignment="1">
      <alignment horizontal="center"/>
    </xf>
    <xf numFmtId="0" fontId="5" fillId="6" borderId="124" xfId="0" applyFont="1" applyFill="1" applyBorder="1" applyAlignment="1">
      <alignment horizontal="center"/>
    </xf>
    <xf numFmtId="0" fontId="4" fillId="0" borderId="122" xfId="0" applyFont="1" applyBorder="1" applyAlignment="1">
      <alignment horizontal="left"/>
    </xf>
    <xf numFmtId="0" fontId="11" fillId="0" borderId="19" xfId="0" applyFont="1" applyBorder="1" applyAlignment="1">
      <alignment horizontal="left"/>
    </xf>
    <xf numFmtId="0" fontId="11" fillId="0" borderId="123" xfId="0" applyFont="1" applyBorder="1" applyAlignment="1">
      <alignment horizontal="left"/>
    </xf>
    <xf numFmtId="0" fontId="0" fillId="0" borderId="141" xfId="0" applyBorder="1" applyAlignment="1">
      <alignment horizontal="center"/>
    </xf>
    <xf numFmtId="0" fontId="0" fillId="0" borderId="0" xfId="0" applyBorder="1" applyAlignment="1">
      <alignment horizontal="center"/>
    </xf>
    <xf numFmtId="0" fontId="0" fillId="0" borderId="142" xfId="0" applyBorder="1" applyAlignment="1">
      <alignment horizontal="center"/>
    </xf>
    <xf numFmtId="169" fontId="0" fillId="0" borderId="118" xfId="0" applyNumberFormat="1" applyBorder="1" applyAlignment="1">
      <alignment horizontal="center"/>
    </xf>
    <xf numFmtId="169" fontId="0" fillId="0" borderId="124" xfId="0" applyNumberFormat="1" applyBorder="1" applyAlignment="1">
      <alignment horizontal="center"/>
    </xf>
    <xf numFmtId="0" fontId="0" fillId="0" borderId="133" xfId="0" applyBorder="1" applyAlignment="1">
      <alignment horizontal="center"/>
    </xf>
    <xf numFmtId="0" fontId="0" fillId="0" borderId="116" xfId="0" applyBorder="1" applyAlignment="1">
      <alignment horizontal="center"/>
    </xf>
    <xf numFmtId="0" fontId="0" fillId="0" borderId="129" xfId="0" applyBorder="1" applyAlignment="1">
      <alignment horizontal="center"/>
    </xf>
    <xf numFmtId="0" fontId="13" fillId="7" borderId="130" xfId="0" applyFont="1" applyFill="1" applyBorder="1" applyAlignment="1">
      <alignment horizontal="center"/>
    </xf>
    <xf numFmtId="0" fontId="13" fillId="7" borderId="121" xfId="0" applyFont="1" applyFill="1" applyBorder="1" applyAlignment="1">
      <alignment horizontal="center"/>
    </xf>
    <xf numFmtId="0" fontId="4" fillId="0" borderId="24" xfId="0" applyFont="1" applyBorder="1" applyAlignment="1">
      <alignment horizontal="left" vertical="top" wrapText="1"/>
    </xf>
    <xf numFmtId="0" fontId="0" fillId="0" borderId="0" xfId="0"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115" xfId="0" applyBorder="1" applyAlignment="1">
      <alignment horizontal="left" vertical="top" wrapText="1"/>
    </xf>
    <xf numFmtId="0" fontId="0" fillId="0" borderId="116" xfId="0" applyBorder="1" applyAlignment="1">
      <alignment horizontal="left" vertical="top" wrapText="1"/>
    </xf>
    <xf numFmtId="0" fontId="0" fillId="0" borderId="117" xfId="0" applyBorder="1" applyAlignment="1">
      <alignment horizontal="left" vertical="top" wrapText="1"/>
    </xf>
    <xf numFmtId="0" fontId="14" fillId="0" borderId="137" xfId="0" applyFont="1" applyBorder="1" applyAlignment="1">
      <alignment horizontal="center"/>
    </xf>
    <xf numFmtId="0" fontId="14" fillId="0" borderId="138" xfId="0" applyFont="1" applyBorder="1" applyAlignment="1">
      <alignment horizontal="center"/>
    </xf>
    <xf numFmtId="0" fontId="14" fillId="0" borderId="139" xfId="0" applyFont="1" applyBorder="1" applyAlignment="1">
      <alignment horizontal="center"/>
    </xf>
    <xf numFmtId="0" fontId="14" fillId="0" borderId="140" xfId="0" applyFont="1" applyBorder="1" applyAlignment="1">
      <alignment horizontal="center"/>
    </xf>
    <xf numFmtId="0" fontId="5" fillId="6" borderId="118" xfId="0" applyFont="1" applyFill="1" applyBorder="1" applyAlignment="1">
      <alignment horizontal="center" vertical="center"/>
    </xf>
    <xf numFmtId="0" fontId="5" fillId="6" borderId="124" xfId="0" applyFont="1" applyFill="1" applyBorder="1" applyAlignment="1">
      <alignment horizontal="center" vertical="center"/>
    </xf>
    <xf numFmtId="165" fontId="10" fillId="0" borderId="118" xfId="0" applyNumberFormat="1" applyFont="1" applyFill="1" applyBorder="1" applyAlignment="1">
      <alignment horizontal="center"/>
    </xf>
    <xf numFmtId="165" fontId="10" fillId="0" borderId="124" xfId="0" applyNumberFormat="1" applyFont="1" applyFill="1" applyBorder="1" applyAlignment="1">
      <alignment horizontal="center"/>
    </xf>
    <xf numFmtId="0" fontId="0" fillId="0" borderId="118" xfId="0" applyFill="1" applyBorder="1" applyAlignment="1">
      <alignment horizontal="center" vertical="center"/>
    </xf>
    <xf numFmtId="0" fontId="0" fillId="0" borderId="119" xfId="0" applyFill="1" applyBorder="1" applyAlignment="1">
      <alignment horizontal="center" vertical="center"/>
    </xf>
    <xf numFmtId="0" fontId="0" fillId="0" borderId="64" xfId="0" applyFill="1" applyBorder="1" applyAlignment="1">
      <alignment horizontal="center" vertical="center"/>
    </xf>
    <xf numFmtId="0" fontId="5" fillId="6" borderId="63" xfId="0" applyFont="1" applyFill="1" applyBorder="1" applyAlignment="1">
      <alignment horizontal="center"/>
    </xf>
    <xf numFmtId="0" fontId="13" fillId="6" borderId="64" xfId="0" applyFont="1" applyFill="1" applyBorder="1" applyAlignment="1">
      <alignment horizontal="center"/>
    </xf>
    <xf numFmtId="0" fontId="0" fillId="0" borderId="63" xfId="0" applyFill="1" applyBorder="1" applyAlignment="1">
      <alignment horizontal="center"/>
    </xf>
    <xf numFmtId="0" fontId="0" fillId="0" borderId="64" xfId="0" applyFill="1" applyBorder="1" applyAlignment="1">
      <alignment horizontal="center"/>
    </xf>
    <xf numFmtId="0" fontId="0" fillId="0" borderId="118" xfId="0" applyFill="1" applyBorder="1" applyAlignment="1">
      <alignment horizontal="center"/>
    </xf>
    <xf numFmtId="0" fontId="0" fillId="0" borderId="119" xfId="0" applyFill="1" applyBorder="1" applyAlignment="1">
      <alignment horizontal="center"/>
    </xf>
    <xf numFmtId="0" fontId="10" fillId="0" borderId="141" xfId="0" applyFont="1" applyBorder="1" applyAlignment="1">
      <alignment horizontal="center"/>
    </xf>
    <xf numFmtId="0" fontId="10" fillId="0" borderId="133" xfId="0" applyFont="1" applyBorder="1" applyAlignment="1">
      <alignment horizontal="center"/>
    </xf>
    <xf numFmtId="0" fontId="0" fillId="0" borderId="28" xfId="0" applyBorder="1" applyAlignment="1">
      <alignment horizontal="center"/>
    </xf>
    <xf numFmtId="0" fontId="0" fillId="0" borderId="26" xfId="0" applyBorder="1" applyAlignment="1">
      <alignment horizontal="center"/>
    </xf>
    <xf numFmtId="0" fontId="0" fillId="0" borderId="125" xfId="0" applyBorder="1" applyAlignment="1">
      <alignment horizontal="center"/>
    </xf>
    <xf numFmtId="0" fontId="0" fillId="0" borderId="135" xfId="0" applyBorder="1" applyAlignment="1">
      <alignment horizontal="center"/>
    </xf>
    <xf numFmtId="0" fontId="0" fillId="0" borderId="134" xfId="0" applyBorder="1" applyAlignment="1">
      <alignment horizontal="center"/>
    </xf>
    <xf numFmtId="166" fontId="0" fillId="0" borderId="29" xfId="0" applyNumberFormat="1" applyBorder="1" applyAlignment="1">
      <alignment horizontal="center"/>
    </xf>
    <xf numFmtId="166" fontId="0" fillId="0" borderId="136" xfId="0" applyNumberFormat="1" applyBorder="1" applyAlignment="1">
      <alignment horizontal="center"/>
    </xf>
    <xf numFmtId="0" fontId="4" fillId="0" borderId="28" xfId="0" applyFont="1" applyBorder="1" applyAlignment="1">
      <alignment horizontal="center"/>
    </xf>
    <xf numFmtId="0" fontId="4" fillId="0" borderId="26" xfId="0" applyFont="1" applyBorder="1" applyAlignment="1">
      <alignment horizontal="center"/>
    </xf>
    <xf numFmtId="0" fontId="4" fillId="0" borderId="125" xfId="0" applyFont="1" applyBorder="1" applyAlignment="1">
      <alignment horizontal="center"/>
    </xf>
    <xf numFmtId="0" fontId="0" fillId="0" borderId="132" xfId="0" applyBorder="1" applyAlignment="1">
      <alignment horizontal="center" vertical="center"/>
    </xf>
    <xf numFmtId="0" fontId="0" fillId="0" borderId="19" xfId="0" applyBorder="1" applyAlignment="1">
      <alignment horizontal="center" vertical="center"/>
    </xf>
    <xf numFmtId="0" fontId="0" fillId="0" borderId="123" xfId="0" applyBorder="1" applyAlignment="1">
      <alignment horizontal="center" vertical="center"/>
    </xf>
    <xf numFmtId="0" fontId="0" fillId="0" borderId="115" xfId="0" applyBorder="1" applyAlignment="1">
      <alignment horizontal="center" vertical="center"/>
    </xf>
    <xf numFmtId="0" fontId="0" fillId="0" borderId="116" xfId="0" applyBorder="1" applyAlignment="1">
      <alignment horizontal="center" vertical="center"/>
    </xf>
    <xf numFmtId="0" fontId="0" fillId="0" borderId="129" xfId="0" applyBorder="1" applyAlignment="1">
      <alignment horizontal="center" vertical="center"/>
    </xf>
    <xf numFmtId="0" fontId="0" fillId="0" borderId="122" xfId="0" applyBorder="1" applyAlignment="1">
      <alignment horizontal="center" vertical="center"/>
    </xf>
    <xf numFmtId="0" fontId="0" fillId="0" borderId="133" xfId="0" applyBorder="1" applyAlignment="1">
      <alignment horizontal="center" vertical="center"/>
    </xf>
    <xf numFmtId="0" fontId="10" fillId="0" borderId="122" xfId="0" applyFont="1" applyBorder="1" applyAlignment="1">
      <alignment horizontal="center" vertical="center"/>
    </xf>
    <xf numFmtId="0" fontId="10" fillId="0" borderId="122" xfId="0" applyNumberFormat="1" applyFont="1" applyBorder="1" applyAlignment="1">
      <alignment horizontal="center" vertical="center"/>
    </xf>
    <xf numFmtId="0" fontId="0" fillId="0" borderId="19" xfId="0" applyNumberFormat="1" applyBorder="1" applyAlignment="1">
      <alignment horizontal="center" vertical="center"/>
    </xf>
    <xf numFmtId="0" fontId="0" fillId="0" borderId="50" xfId="0" applyNumberFormat="1" applyBorder="1" applyAlignment="1">
      <alignment horizontal="center" vertical="center"/>
    </xf>
    <xf numFmtId="0" fontId="0" fillId="0" borderId="133" xfId="0" applyNumberFormat="1" applyBorder="1" applyAlignment="1">
      <alignment horizontal="center" vertical="center"/>
    </xf>
    <xf numFmtId="0" fontId="0" fillId="0" borderId="116" xfId="0" applyNumberFormat="1" applyBorder="1" applyAlignment="1">
      <alignment horizontal="center" vertical="center"/>
    </xf>
    <xf numFmtId="0" fontId="0" fillId="0" borderId="117" xfId="0" applyNumberFormat="1" applyBorder="1" applyAlignment="1">
      <alignment horizontal="center" vertical="center"/>
    </xf>
    <xf numFmtId="0" fontId="13" fillId="7" borderId="143" xfId="0" applyFont="1" applyFill="1" applyBorder="1" applyAlignment="1">
      <alignment horizontal="center"/>
    </xf>
    <xf numFmtId="0" fontId="13" fillId="7" borderId="131" xfId="0" applyFont="1" applyFill="1" applyBorder="1" applyAlignment="1">
      <alignment horizontal="center"/>
    </xf>
    <xf numFmtId="0" fontId="13" fillId="7" borderId="120" xfId="0" applyFont="1" applyFill="1" applyBorder="1" applyAlignment="1">
      <alignment horizontal="center"/>
    </xf>
    <xf numFmtId="0" fontId="11" fillId="0" borderId="122" xfId="0" applyFont="1" applyBorder="1" applyAlignment="1">
      <alignment horizontal="left"/>
    </xf>
    <xf numFmtId="0" fontId="33" fillId="0" borderId="116" xfId="12" applyFont="1" applyBorder="1" applyAlignment="1" applyProtection="1">
      <alignment horizontal="left" vertical="center" indent="14"/>
      <protection locked="0"/>
    </xf>
    <xf numFmtId="0" fontId="38" fillId="0" borderId="116" xfId="12" applyFont="1" applyBorder="1" applyAlignment="1" applyProtection="1">
      <alignment horizontal="left" vertical="center" indent="14"/>
      <protection locked="0"/>
    </xf>
    <xf numFmtId="0" fontId="38" fillId="0" borderId="129" xfId="12" applyFont="1" applyBorder="1" applyAlignment="1" applyProtection="1">
      <alignment horizontal="left" vertical="center" indent="14"/>
      <protection locked="0"/>
    </xf>
    <xf numFmtId="176" fontId="10" fillId="11" borderId="118" xfId="12" applyNumberFormat="1" applyFont="1" applyFill="1" applyBorder="1" applyAlignment="1" applyProtection="1">
      <alignment horizontal="center" vertical="center"/>
      <protection locked="0"/>
    </xf>
    <xf numFmtId="176" fontId="10" fillId="11" borderId="119" xfId="12" applyNumberFormat="1" applyFill="1" applyBorder="1" applyAlignment="1" applyProtection="1">
      <alignment horizontal="center" vertical="center"/>
      <protection locked="0"/>
    </xf>
    <xf numFmtId="176" fontId="10" fillId="11" borderId="64" xfId="12" applyNumberFormat="1" applyFill="1" applyBorder="1" applyAlignment="1" applyProtection="1">
      <alignment horizontal="center" vertical="center"/>
      <protection locked="0"/>
    </xf>
  </cellXfs>
  <cellStyles count="73">
    <cellStyle name="Comma 2" xfId="2"/>
    <cellStyle name="Comma 3" xfId="70"/>
    <cellStyle name="Currency" xfId="71" builtinId="4"/>
    <cellStyle name="Currency 2" xfId="3"/>
    <cellStyle name="Currency 2 2" xfId="4"/>
    <cellStyle name="Currency 2 3" xfId="5"/>
    <cellStyle name="Currency 3" xfId="6"/>
    <cellStyle name="Currency 4" xfId="7"/>
    <cellStyle name="Currency 4 2" xfId="8"/>
    <cellStyle name="Currency 4 3" xfId="9"/>
    <cellStyle name="Currency 4 4" xfId="10"/>
    <cellStyle name="Hyperlink 2" xfId="11"/>
    <cellStyle name="Normal" xfId="0" builtinId="0"/>
    <cellStyle name="Normal 10" xfId="12"/>
    <cellStyle name="Normal 11" xfId="13"/>
    <cellStyle name="Normal 12" xfId="1"/>
    <cellStyle name="Normal 13" xfId="69"/>
    <cellStyle name="Normal 2" xfId="14"/>
    <cellStyle name="Normal 2 2" xfId="15"/>
    <cellStyle name="Normal 3" xfId="16"/>
    <cellStyle name="Normal 3 2" xfId="17"/>
    <cellStyle name="Normal 3 2 2" xfId="18"/>
    <cellStyle name="Normal 3 2 3" xfId="19"/>
    <cellStyle name="Normal 3 2 4" xfId="20"/>
    <cellStyle name="Normal 3 2 5" xfId="21"/>
    <cellStyle name="Normal 3 3" xfId="22"/>
    <cellStyle name="Normal 3 4" xfId="23"/>
    <cellStyle name="Normal 3 5" xfId="24"/>
    <cellStyle name="Normal 3 6" xfId="25"/>
    <cellStyle name="Normal 3 7" xfId="26"/>
    <cellStyle name="Normal 4" xfId="27"/>
    <cellStyle name="Normal 5" xfId="28"/>
    <cellStyle name="Normal 5 2" xfId="29"/>
    <cellStyle name="Normal 5 2 2" xfId="30"/>
    <cellStyle name="Normal 5 2 3" xfId="31"/>
    <cellStyle name="Normal 5 2 4" xfId="32"/>
    <cellStyle name="Normal 5 2 5" xfId="33"/>
    <cellStyle name="Normal 5 3" xfId="34"/>
    <cellStyle name="Normal 5 4" xfId="35"/>
    <cellStyle name="Normal 5 5" xfId="36"/>
    <cellStyle name="Normal 5 6" xfId="37"/>
    <cellStyle name="Normal 5 7" xfId="38"/>
    <cellStyle name="Normal 5 8" xfId="72"/>
    <cellStyle name="Normal 6" xfId="39"/>
    <cellStyle name="Normal 6 2" xfId="40"/>
    <cellStyle name="Normal 6 2 2" xfId="41"/>
    <cellStyle name="Normal 6 2 3" xfId="42"/>
    <cellStyle name="Normal 6 2 4" xfId="43"/>
    <cellStyle name="Normal 6 2 5" xfId="44"/>
    <cellStyle name="Normal 6 3" xfId="45"/>
    <cellStyle name="Normal 6 4" xfId="46"/>
    <cellStyle name="Normal 6 5" xfId="47"/>
    <cellStyle name="Normal 6 6" xfId="48"/>
    <cellStyle name="Normal 6 7" xfId="49"/>
    <cellStyle name="Normal 7" xfId="50"/>
    <cellStyle name="Normal 7 2" xfId="51"/>
    <cellStyle name="Normal 7 2 2" xfId="52"/>
    <cellStyle name="Normal 7 2 3" xfId="53"/>
    <cellStyle name="Normal 7 2 4" xfId="54"/>
    <cellStyle name="Normal 7 2 5" xfId="55"/>
    <cellStyle name="Normal 7 3" xfId="56"/>
    <cellStyle name="Normal 7 4" xfId="57"/>
    <cellStyle name="Normal 7 5" xfId="58"/>
    <cellStyle name="Normal 7 6" xfId="59"/>
    <cellStyle name="Normal 7 7" xfId="60"/>
    <cellStyle name="Normal 8" xfId="61"/>
    <cellStyle name="Normal 9" xfId="62"/>
    <cellStyle name="Normal 9 2" xfId="63"/>
    <cellStyle name="Normal 9 3" xfId="64"/>
    <cellStyle name="Normal 9 4" xfId="65"/>
    <cellStyle name="Percent 2" xfId="66"/>
    <cellStyle name="Percent 3" xfId="67"/>
    <cellStyle name="Style 1" xfId="68"/>
  </cellStyles>
  <dxfs count="0"/>
  <tableStyles count="0" defaultTableStyle="TableStyleMedium9" defaultPivotStyle="PivotStyleLight16"/>
  <colors>
    <mruColors>
      <color rgb="FF18CA14"/>
      <color rgb="FF95F2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drawings/_rels/vmlDrawing1.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7</xdr:col>
      <xdr:colOff>619125</xdr:colOff>
      <xdr:row>0</xdr:row>
      <xdr:rowOff>28575</xdr:rowOff>
    </xdr:from>
    <xdr:to>
      <xdr:col>7</xdr:col>
      <xdr:colOff>695325</xdr:colOff>
      <xdr:row>1</xdr:row>
      <xdr:rowOff>19050</xdr:rowOff>
    </xdr:to>
    <xdr:sp macro="" textlink="">
      <xdr:nvSpPr>
        <xdr:cNvPr id="1153" name="Text Box 4"/>
        <xdr:cNvSpPr txBox="1">
          <a:spLocks noChangeArrowheads="1"/>
        </xdr:cNvSpPr>
      </xdr:nvSpPr>
      <xdr:spPr bwMode="auto">
        <a:xfrm>
          <a:off x="4772025" y="28575"/>
          <a:ext cx="76200" cy="142875"/>
        </a:xfrm>
        <a:prstGeom prst="rect">
          <a:avLst/>
        </a:prstGeom>
        <a:noFill/>
        <a:ln w="9525">
          <a:noFill/>
          <a:miter lim="800000"/>
          <a:headEnd/>
          <a:tailEnd/>
        </a:ln>
      </xdr:spPr>
    </xdr:sp>
    <xdr:clientData/>
  </xdr:twoCellAnchor>
  <xdr:twoCellAnchor editAs="oneCell">
    <xdr:from>
      <xdr:col>7</xdr:col>
      <xdr:colOff>619125</xdr:colOff>
      <xdr:row>2</xdr:row>
      <xdr:rowOff>28575</xdr:rowOff>
    </xdr:from>
    <xdr:to>
      <xdr:col>7</xdr:col>
      <xdr:colOff>695325</xdr:colOff>
      <xdr:row>3</xdr:row>
      <xdr:rowOff>19050</xdr:rowOff>
    </xdr:to>
    <xdr:sp macro="" textlink="">
      <xdr:nvSpPr>
        <xdr:cNvPr id="1154" name="Text Box 19"/>
        <xdr:cNvSpPr txBox="1">
          <a:spLocks noChangeArrowheads="1"/>
        </xdr:cNvSpPr>
      </xdr:nvSpPr>
      <xdr:spPr bwMode="auto">
        <a:xfrm>
          <a:off x="4772025" y="333375"/>
          <a:ext cx="76200" cy="142875"/>
        </a:xfrm>
        <a:prstGeom prst="rect">
          <a:avLst/>
        </a:prstGeom>
        <a:noFill/>
        <a:ln w="9525">
          <a:noFill/>
          <a:miter lim="800000"/>
          <a:headEnd/>
          <a:tailEnd/>
        </a:ln>
      </xdr:spPr>
    </xdr:sp>
    <xdr:clientData/>
  </xdr:twoCellAnchor>
  <xdr:twoCellAnchor editAs="oneCell">
    <xdr:from>
      <xdr:col>7</xdr:col>
      <xdr:colOff>619125</xdr:colOff>
      <xdr:row>1</xdr:row>
      <xdr:rowOff>28575</xdr:rowOff>
    </xdr:from>
    <xdr:to>
      <xdr:col>7</xdr:col>
      <xdr:colOff>695325</xdr:colOff>
      <xdr:row>2</xdr:row>
      <xdr:rowOff>19050</xdr:rowOff>
    </xdr:to>
    <xdr:sp macro="" textlink="">
      <xdr:nvSpPr>
        <xdr:cNvPr id="1155" name="Text Box 20"/>
        <xdr:cNvSpPr txBox="1">
          <a:spLocks noChangeArrowheads="1"/>
        </xdr:cNvSpPr>
      </xdr:nvSpPr>
      <xdr:spPr bwMode="auto">
        <a:xfrm>
          <a:off x="4772025" y="180975"/>
          <a:ext cx="76200" cy="142875"/>
        </a:xfrm>
        <a:prstGeom prst="rect">
          <a:avLst/>
        </a:prstGeom>
        <a:noFill/>
        <a:ln w="9525">
          <a:no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400050</xdr:colOff>
      <xdr:row>0</xdr:row>
      <xdr:rowOff>209550</xdr:rowOff>
    </xdr:from>
    <xdr:to>
      <xdr:col>4</xdr:col>
      <xdr:colOff>876300</xdr:colOff>
      <xdr:row>0</xdr:row>
      <xdr:rowOff>209550</xdr:rowOff>
    </xdr:to>
    <xdr:sp macro="" textlink="">
      <xdr:nvSpPr>
        <xdr:cNvPr id="2" name="Line 4"/>
        <xdr:cNvSpPr>
          <a:spLocks noChangeShapeType="1"/>
        </xdr:cNvSpPr>
      </xdr:nvSpPr>
      <xdr:spPr bwMode="auto">
        <a:xfrm flipV="1">
          <a:off x="2838450" y="161925"/>
          <a:ext cx="209550" cy="0"/>
        </a:xfrm>
        <a:prstGeom prst="line">
          <a:avLst/>
        </a:prstGeom>
        <a:noFill/>
        <a:ln w="9525">
          <a:solidFill>
            <a:srgbClr val="000000"/>
          </a:solidFill>
          <a:round/>
          <a:headEnd/>
          <a:tailEnd type="triangle" w="med" len="med"/>
        </a:ln>
        <a:effectLst>
          <a:prstShdw prst="shdw17" dist="17961" dir="2700000">
            <a:srgbClr val="000000">
              <a:gamma/>
              <a:shade val="60000"/>
              <a:invGamma/>
            </a:srgbClr>
          </a:prstShdw>
        </a:effectLst>
      </xdr:spPr>
    </xdr:sp>
    <xdr:clientData/>
  </xdr:twoCellAnchor>
  <mc:AlternateContent xmlns:mc="http://schemas.openxmlformats.org/markup-compatibility/2006">
    <mc:Choice xmlns:a14="http://schemas.microsoft.com/office/drawing/2010/main" Requires="a14">
      <xdr:twoCellAnchor editAs="oneCell">
        <xdr:from>
          <xdr:col>8</xdr:col>
          <xdr:colOff>76200</xdr:colOff>
          <xdr:row>0</xdr:row>
          <xdr:rowOff>30480</xdr:rowOff>
        </xdr:from>
        <xdr:to>
          <xdr:col>8</xdr:col>
          <xdr:colOff>1805940</xdr:colOff>
          <xdr:row>0</xdr:row>
          <xdr:rowOff>327660</xdr:rowOff>
        </xdr:to>
        <xdr:sp macro="" textlink="">
          <xdr:nvSpPr>
            <xdr:cNvPr id="2049" name="CommandButton1" hidden="1">
              <a:extLst>
                <a:ext uri="{63B3BB69-23CF-44E3-9099-C40C66FF867C}">
                  <a14:compatExt spid="_x0000_s20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30480</xdr:colOff>
          <xdr:row>0</xdr:row>
          <xdr:rowOff>30480</xdr:rowOff>
        </xdr:from>
        <xdr:to>
          <xdr:col>0</xdr:col>
          <xdr:colOff>1341120</xdr:colOff>
          <xdr:row>0</xdr:row>
          <xdr:rowOff>342900</xdr:rowOff>
        </xdr:to>
        <xdr:sp macro="" textlink="">
          <xdr:nvSpPr>
            <xdr:cNvPr id="2050" name="CommandButton2" hidden="1">
              <a:extLst>
                <a:ext uri="{63B3BB69-23CF-44E3-9099-C40C66FF867C}">
                  <a14:compatExt spid="_x0000_s20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vlansfor/Desktop/National%20PW%20Template%20V2%206%20-%20June%202012%20(Corrected).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dbuckle3/Documents/Applicants/Oklahom%20City/Roads/Oklahoma%20City%20OKC118C/Oklahoma%20City%20OKC118C.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jamie_marshall/Local%20Settings/Temporary%20Internet%20Files/Content.Outlook/TP1IZU6Z/PA%20Technology/02%20-%20PW%20Tools/0%20-%20PW%20Templates/National%20PW%20Template%20V2.5%20-%20February%202012.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Documents%20and%20Settings\jamie_marshall\Local%20Settings\Temporary%20Internet%20Files\Content.Outlook\TP1IZU6Z\PA%20Technology\02%20-%20PW%20Tools\0%20-%20PW%20Templates\National%20PW%20Template%20V2.5%20-%20February%20201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PW FACT SHEET"/>
      <sheetName val="FILL OUT FIRST - TOC"/>
      <sheetName val="PW"/>
      <sheetName val="DDD-SOW CONTINUATION"/>
      <sheetName val="COST CONTINUATION"/>
      <sheetName val="SCOPE NOTES"/>
      <sheetName val="SITE SHEET SUMMARY"/>
      <sheetName val="SITE SHEET"/>
      <sheetName val="SITE COSTS"/>
      <sheetName val="SC"/>
      <sheetName val="HMP"/>
      <sheetName val="HAZMIT SUM"/>
      <sheetName val="PW PNP FACILITY QUESTIONNAIRE"/>
      <sheetName val="DIRECT ADMIN COSTS"/>
      <sheetName val="FORCE ACCOUNT SUMMARY"/>
      <sheetName val="PAYROLL DATA"/>
      <sheetName val="FRINGE"/>
      <sheetName val="LABOR"/>
      <sheetName val="EQUIPMENT INVENTORY"/>
      <sheetName val="EQUIPMENT"/>
      <sheetName val="MATERIALS"/>
      <sheetName val="CONTRACTS"/>
      <sheetName val="RENTAL EQUIPMENT"/>
      <sheetName val="PHOTOS"/>
      <sheetName val="LOCATION MAP"/>
      <sheetName val="FIRMETTE"/>
      <sheetName val="CODESEARCH"/>
      <sheetName val="DO NOT SCAN"/>
      <sheetName val="BACKUP"/>
      <sheetName val="NARRATIVE"/>
      <sheetName val="Estimator I"/>
      <sheetName val="Estimator II"/>
      <sheetName val="REPETITIVE LOSS"/>
      <sheetName val="RPA"/>
      <sheetName val="PNP RPA FORM"/>
      <sheetName val="EXIT BRIEFING"/>
      <sheetName val="Utility"/>
      <sheetName val="States"/>
      <sheetName val="Counties"/>
    </sheetNames>
    <sheetDataSet>
      <sheetData sheetId="0"/>
      <sheetData sheetId="1"/>
      <sheetData sheetId="2"/>
      <sheetData sheetId="3"/>
      <sheetData sheetId="4"/>
      <sheetData sheetId="5"/>
      <sheetData sheetId="6"/>
      <sheetData sheetId="7"/>
      <sheetData sheetId="8">
        <row r="4">
          <cell r="V4" t="str">
            <v>&lt;Select&gt;</v>
          </cell>
        </row>
        <row r="5">
          <cell r="V5" t="str">
            <v>A</v>
          </cell>
        </row>
        <row r="6">
          <cell r="V6" t="str">
            <v>B</v>
          </cell>
        </row>
        <row r="7">
          <cell r="V7" t="str">
            <v>C</v>
          </cell>
        </row>
        <row r="8">
          <cell r="V8" t="str">
            <v>D</v>
          </cell>
        </row>
        <row r="9">
          <cell r="V9" t="str">
            <v>E</v>
          </cell>
        </row>
        <row r="10">
          <cell r="V10" t="str">
            <v>F</v>
          </cell>
        </row>
        <row r="11">
          <cell r="V11" t="str">
            <v>G</v>
          </cell>
        </row>
        <row r="12">
          <cell r="V12" t="str">
            <v>H</v>
          </cell>
        </row>
        <row r="13">
          <cell r="V13" t="str">
            <v>Z</v>
          </cell>
        </row>
      </sheetData>
      <sheetData sheetId="9"/>
      <sheetData sheetId="10"/>
      <sheetData sheetId="11"/>
      <sheetData sheetId="12"/>
      <sheetData sheetId="13"/>
      <sheetData sheetId="14"/>
      <sheetData sheetId="15"/>
      <sheetData sheetId="16">
        <row r="2">
          <cell r="B2" t="str">
            <v>FEDERAL EMERGENCY MANAGEMENT AGENCY</v>
          </cell>
        </row>
        <row r="3">
          <cell r="B3" t="str">
            <v>EMPLOYEE PAYROLL DATA</v>
          </cell>
        </row>
        <row r="4">
          <cell r="B4" t="str">
            <v>APPLICANT</v>
          </cell>
        </row>
        <row r="5">
          <cell r="B5">
            <v>0</v>
          </cell>
        </row>
        <row r="6">
          <cell r="B6" t="str">
            <v>EMPLOYEE NAME</v>
          </cell>
        </row>
        <row r="8">
          <cell r="B8" t="str">
            <v>LAST NAME, FIRST NAME</v>
          </cell>
        </row>
        <row r="9">
          <cell r="B9" t="str">
            <v>Example:  Doe, John</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8">
          <cell r="AW8" t="str">
            <v>Alternate</v>
          </cell>
        </row>
        <row r="9">
          <cell r="AW9" t="str">
            <v>Improved</v>
          </cell>
        </row>
        <row r="10">
          <cell r="AW10" t="str">
            <v>Neither Alternate nor Improved</v>
          </cell>
        </row>
      </sheetData>
      <sheetData sheetId="38">
        <row r="1">
          <cell r="A1" t="str">
            <v>Alabama</v>
          </cell>
        </row>
        <row r="2">
          <cell r="A2" t="str">
            <v>Alaska</v>
          </cell>
        </row>
        <row r="3">
          <cell r="A3" t="str">
            <v>Arizona</v>
          </cell>
        </row>
        <row r="4">
          <cell r="A4" t="str">
            <v>Arkansas</v>
          </cell>
        </row>
        <row r="5">
          <cell r="A5" t="str">
            <v>California</v>
          </cell>
          <cell r="H5" t="str">
            <v>A</v>
          </cell>
          <cell r="I5" t="str">
            <v>YES</v>
          </cell>
          <cell r="J5" t="str">
            <v>EM</v>
          </cell>
          <cell r="K5">
            <v>75</v>
          </cell>
        </row>
        <row r="6">
          <cell r="A6" t="str">
            <v>Colorado</v>
          </cell>
          <cell r="H6" t="str">
            <v>B</v>
          </cell>
          <cell r="I6" t="str">
            <v>NO</v>
          </cell>
          <cell r="J6" t="str">
            <v>DR</v>
          </cell>
          <cell r="K6">
            <v>90</v>
          </cell>
        </row>
        <row r="7">
          <cell r="A7" t="str">
            <v>Connecticut</v>
          </cell>
          <cell r="H7" t="str">
            <v>C</v>
          </cell>
          <cell r="K7">
            <v>100</v>
          </cell>
        </row>
        <row r="8">
          <cell r="A8" t="str">
            <v>Delaware</v>
          </cell>
          <cell r="H8" t="str">
            <v>D</v>
          </cell>
        </row>
        <row r="9">
          <cell r="A9" t="str">
            <v>District of Columbia</v>
          </cell>
          <cell r="H9" t="str">
            <v>E</v>
          </cell>
        </row>
        <row r="10">
          <cell r="A10" t="str">
            <v>Florida</v>
          </cell>
          <cell r="H10" t="str">
            <v>F</v>
          </cell>
        </row>
        <row r="11">
          <cell r="A11" t="str">
            <v>Georgia</v>
          </cell>
          <cell r="H11" t="str">
            <v>G</v>
          </cell>
        </row>
        <row r="12">
          <cell r="A12" t="str">
            <v>Hawaii</v>
          </cell>
          <cell r="H12" t="str">
            <v>H</v>
          </cell>
        </row>
        <row r="13">
          <cell r="A13" t="str">
            <v>Idaho</v>
          </cell>
          <cell r="H13" t="str">
            <v>Z</v>
          </cell>
        </row>
        <row r="14">
          <cell r="A14" t="str">
            <v>Illinois</v>
          </cell>
        </row>
        <row r="15">
          <cell r="A15" t="str">
            <v>Indiana</v>
          </cell>
        </row>
        <row r="16">
          <cell r="A16" t="str">
            <v>Iowa</v>
          </cell>
        </row>
        <row r="17">
          <cell r="A17" t="str">
            <v>Kansas</v>
          </cell>
        </row>
        <row r="18">
          <cell r="A18" t="str">
            <v>Kentucky</v>
          </cell>
        </row>
        <row r="19">
          <cell r="A19" t="str">
            <v>Louisiana</v>
          </cell>
        </row>
        <row r="20">
          <cell r="A20" t="str">
            <v>Maine</v>
          </cell>
        </row>
        <row r="21">
          <cell r="A21" t="str">
            <v>Maryland</v>
          </cell>
        </row>
        <row r="22">
          <cell r="A22" t="str">
            <v>Massachusetts</v>
          </cell>
        </row>
        <row r="23">
          <cell r="A23" t="str">
            <v>Michigan</v>
          </cell>
        </row>
        <row r="24">
          <cell r="A24" t="str">
            <v>Minnesota</v>
          </cell>
        </row>
        <row r="25">
          <cell r="A25" t="str">
            <v>Mississippi</v>
          </cell>
        </row>
        <row r="26">
          <cell r="A26" t="str">
            <v>Missouri</v>
          </cell>
        </row>
        <row r="27">
          <cell r="A27" t="str">
            <v>Montana</v>
          </cell>
        </row>
        <row r="28">
          <cell r="A28" t="str">
            <v>Nebraska</v>
          </cell>
        </row>
        <row r="29">
          <cell r="A29" t="str">
            <v>Nevada</v>
          </cell>
        </row>
        <row r="30">
          <cell r="A30" t="str">
            <v>New Hampshire</v>
          </cell>
        </row>
        <row r="31">
          <cell r="A31" t="str">
            <v>New Jersey</v>
          </cell>
        </row>
        <row r="32">
          <cell r="A32" t="str">
            <v>New Mexico</v>
          </cell>
        </row>
        <row r="33">
          <cell r="A33" t="str">
            <v>New York</v>
          </cell>
        </row>
        <row r="34">
          <cell r="A34" t="str">
            <v>North Carolina</v>
          </cell>
        </row>
        <row r="35">
          <cell r="A35" t="str">
            <v>North Dakota</v>
          </cell>
        </row>
        <row r="36">
          <cell r="A36" t="str">
            <v>Ohio</v>
          </cell>
        </row>
        <row r="37">
          <cell r="A37" t="str">
            <v>Oklahoma</v>
          </cell>
        </row>
        <row r="38">
          <cell r="A38" t="str">
            <v>Oregon</v>
          </cell>
        </row>
        <row r="39">
          <cell r="A39" t="str">
            <v>Pennsylvania</v>
          </cell>
        </row>
        <row r="40">
          <cell r="A40" t="str">
            <v>Puerto Rico</v>
          </cell>
        </row>
        <row r="41">
          <cell r="A41" t="str">
            <v>Rhode Island</v>
          </cell>
        </row>
        <row r="42">
          <cell r="A42" t="str">
            <v>South Carolina</v>
          </cell>
        </row>
        <row r="43">
          <cell r="A43" t="str">
            <v>South Dakota</v>
          </cell>
        </row>
        <row r="44">
          <cell r="A44" t="str">
            <v>Tennessee</v>
          </cell>
        </row>
        <row r="45">
          <cell r="A45" t="str">
            <v>Texas</v>
          </cell>
        </row>
        <row r="46">
          <cell r="A46" t="str">
            <v>Utah</v>
          </cell>
        </row>
        <row r="47">
          <cell r="A47" t="str">
            <v>Vermont</v>
          </cell>
        </row>
        <row r="48">
          <cell r="A48" t="str">
            <v>Virginia</v>
          </cell>
        </row>
        <row r="49">
          <cell r="A49" t="str">
            <v>Washington</v>
          </cell>
        </row>
        <row r="50">
          <cell r="A50" t="str">
            <v>West Virginia</v>
          </cell>
        </row>
        <row r="51">
          <cell r="A51" t="str">
            <v>Wisconsin</v>
          </cell>
        </row>
        <row r="52">
          <cell r="A52" t="str">
            <v>Wyoming</v>
          </cell>
        </row>
      </sheetData>
      <sheetData sheetId="3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PW FACT SHEET"/>
      <sheetName val="FILL OUT FIRST - TOC"/>
      <sheetName val="PW"/>
      <sheetName val="DDD-SOW CONTINUATION"/>
      <sheetName val="COST CONTINUATION"/>
      <sheetName val="SCOPE NOTES"/>
      <sheetName val="SITE SHEET SUMMARY"/>
      <sheetName val="SITE SHEET"/>
      <sheetName val="SITE COSTS"/>
      <sheetName val="SC"/>
      <sheetName val="HMP"/>
      <sheetName val="HAZMIT SUM"/>
      <sheetName val="PW PNP FACILITY QUESTIONNAIRE"/>
      <sheetName val="DIRECT ADMIN COSTS"/>
      <sheetName val="FORCE ACCOUNT SUMMARY"/>
      <sheetName val="Sheet1"/>
      <sheetName val="Estimate"/>
      <sheetName val="Applicant Force Acount Doc"/>
      <sheetName val="PAYROLL DATA"/>
      <sheetName val="FRINGE"/>
      <sheetName val="LABOR"/>
      <sheetName val="CODES"/>
      <sheetName val="EQUIPMENT INVENTORY"/>
      <sheetName val="EQUIPMENT"/>
      <sheetName val="MATERIALS"/>
      <sheetName val="CONTRACTS"/>
      <sheetName val="RENTAL EQUIPMENT"/>
      <sheetName val="PHOTOS"/>
      <sheetName val="LOCATION MAP"/>
      <sheetName val="FIRMETTE"/>
      <sheetName val="CODESEARCH"/>
      <sheetName val="DO NOT SCAN"/>
      <sheetName val="BACKUP"/>
      <sheetName val="NARRATIVE"/>
      <sheetName val="Estimator I"/>
      <sheetName val="Estimator II"/>
      <sheetName val="REPETITIVE LOSS"/>
      <sheetName val="RPA"/>
      <sheetName val="PNP RPA FORM"/>
      <sheetName val="EXIT BRIEFING"/>
      <sheetName val="Utility"/>
      <sheetName val="States"/>
      <sheetName val="Counties"/>
      <sheetName val="Sheet2"/>
    </sheetNames>
    <sheetDataSet>
      <sheetData sheetId="0"/>
      <sheetData sheetId="1"/>
      <sheetData sheetId="2"/>
      <sheetData sheetId="3"/>
      <sheetData sheetId="4"/>
      <sheetData sheetId="5"/>
      <sheetData sheetId="6"/>
      <sheetData sheetId="7"/>
      <sheetData sheetId="8">
        <row r="4">
          <cell r="V4" t="str">
            <v>&lt;Select&gt;</v>
          </cell>
        </row>
        <row r="5">
          <cell r="V5" t="str">
            <v>A</v>
          </cell>
        </row>
        <row r="6">
          <cell r="V6" t="str">
            <v>B</v>
          </cell>
        </row>
        <row r="7">
          <cell r="V7" t="str">
            <v>C</v>
          </cell>
        </row>
        <row r="8">
          <cell r="V8" t="str">
            <v>D</v>
          </cell>
        </row>
        <row r="9">
          <cell r="V9" t="str">
            <v>E</v>
          </cell>
        </row>
        <row r="10">
          <cell r="V10" t="str">
            <v>F</v>
          </cell>
        </row>
        <row r="11">
          <cell r="V11" t="str">
            <v>G</v>
          </cell>
        </row>
        <row r="12">
          <cell r="V12" t="str">
            <v>H</v>
          </cell>
        </row>
        <row r="13">
          <cell r="V13" t="str">
            <v>Z</v>
          </cell>
        </row>
      </sheetData>
      <sheetData sheetId="9"/>
      <sheetData sheetId="10"/>
      <sheetData sheetId="11"/>
      <sheetData sheetId="12"/>
      <sheetData sheetId="13"/>
      <sheetData sheetId="14"/>
      <sheetData sheetId="15"/>
      <sheetData sheetId="16"/>
      <sheetData sheetId="17"/>
      <sheetData sheetId="18"/>
      <sheetData sheetId="19">
        <row r="2">
          <cell r="B2" t="str">
            <v>FEDERAL EMERGENCY MANAGEMENT AGENCY</v>
          </cell>
        </row>
        <row r="3">
          <cell r="B3" t="str">
            <v>EMPLOYEE PAYROLL DATA</v>
          </cell>
        </row>
        <row r="4">
          <cell r="B4" t="str">
            <v>APPLICANT</v>
          </cell>
        </row>
        <row r="5">
          <cell r="B5" t="str">
            <v>Oklahoma City</v>
          </cell>
        </row>
        <row r="6">
          <cell r="B6" t="str">
            <v>EMPLOYEE NAME</v>
          </cell>
        </row>
        <row r="8">
          <cell r="B8" t="str">
            <v>LAST NAME, FIRST NAME</v>
          </cell>
        </row>
        <row r="9">
          <cell r="B9" t="str">
            <v>Example:  Doe, John</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8">
          <cell r="AW8" t="str">
            <v>Alternate</v>
          </cell>
        </row>
        <row r="9">
          <cell r="AW9" t="str">
            <v>Improved</v>
          </cell>
        </row>
        <row r="10">
          <cell r="AW10" t="str">
            <v>Neither Alternate nor Improved</v>
          </cell>
        </row>
      </sheetData>
      <sheetData sheetId="42">
        <row r="1">
          <cell r="A1" t="str">
            <v>Alabama</v>
          </cell>
        </row>
        <row r="2">
          <cell r="A2" t="str">
            <v>Alaska</v>
          </cell>
        </row>
        <row r="3">
          <cell r="A3" t="str">
            <v>Arizona</v>
          </cell>
        </row>
        <row r="4">
          <cell r="A4" t="str">
            <v>Arkansas</v>
          </cell>
        </row>
        <row r="5">
          <cell r="A5" t="str">
            <v>California</v>
          </cell>
          <cell r="H5" t="str">
            <v>A</v>
          </cell>
          <cell r="I5" t="str">
            <v>YES</v>
          </cell>
          <cell r="J5" t="str">
            <v>EM</v>
          </cell>
          <cell r="K5">
            <v>75</v>
          </cell>
        </row>
        <row r="6">
          <cell r="A6" t="str">
            <v>Colorado</v>
          </cell>
          <cell r="H6" t="str">
            <v>B</v>
          </cell>
          <cell r="I6" t="str">
            <v>NO</v>
          </cell>
          <cell r="J6" t="str">
            <v>DR</v>
          </cell>
          <cell r="K6">
            <v>90</v>
          </cell>
        </row>
        <row r="7">
          <cell r="A7" t="str">
            <v>Connecticut</v>
          </cell>
          <cell r="H7" t="str">
            <v>C</v>
          </cell>
          <cell r="K7">
            <v>100</v>
          </cell>
        </row>
        <row r="8">
          <cell r="A8" t="str">
            <v>Delaware</v>
          </cell>
          <cell r="H8" t="str">
            <v>D</v>
          </cell>
        </row>
        <row r="9">
          <cell r="A9" t="str">
            <v>District of Columbia</v>
          </cell>
          <cell r="H9" t="str">
            <v>E</v>
          </cell>
        </row>
        <row r="10">
          <cell r="A10" t="str">
            <v>Florida</v>
          </cell>
          <cell r="H10" t="str">
            <v>F</v>
          </cell>
        </row>
        <row r="11">
          <cell r="A11" t="str">
            <v>Georgia</v>
          </cell>
          <cell r="H11" t="str">
            <v>G</v>
          </cell>
        </row>
        <row r="12">
          <cell r="A12" t="str">
            <v>Hawaii</v>
          </cell>
          <cell r="H12" t="str">
            <v>H</v>
          </cell>
        </row>
        <row r="13">
          <cell r="A13" t="str">
            <v>Idaho</v>
          </cell>
          <cell r="H13" t="str">
            <v>Z</v>
          </cell>
        </row>
        <row r="14">
          <cell r="A14" t="str">
            <v>Illinois</v>
          </cell>
        </row>
        <row r="15">
          <cell r="A15" t="str">
            <v>Indiana</v>
          </cell>
        </row>
        <row r="16">
          <cell r="A16" t="str">
            <v>Iowa</v>
          </cell>
        </row>
        <row r="17">
          <cell r="A17" t="str">
            <v>Kansas</v>
          </cell>
        </row>
        <row r="18">
          <cell r="A18" t="str">
            <v>Kentucky</v>
          </cell>
        </row>
        <row r="19">
          <cell r="A19" t="str">
            <v>Louisiana</v>
          </cell>
        </row>
        <row r="20">
          <cell r="A20" t="str">
            <v>Maine</v>
          </cell>
        </row>
        <row r="21">
          <cell r="A21" t="str">
            <v>Maryland</v>
          </cell>
        </row>
        <row r="22">
          <cell r="A22" t="str">
            <v>Massachusetts</v>
          </cell>
        </row>
        <row r="23">
          <cell r="A23" t="str">
            <v>Michigan</v>
          </cell>
        </row>
        <row r="24">
          <cell r="A24" t="str">
            <v>Minnesota</v>
          </cell>
        </row>
        <row r="25">
          <cell r="A25" t="str">
            <v>Mississippi</v>
          </cell>
        </row>
        <row r="26">
          <cell r="A26" t="str">
            <v>Missouri</v>
          </cell>
        </row>
        <row r="27">
          <cell r="A27" t="str">
            <v>Montana</v>
          </cell>
        </row>
        <row r="28">
          <cell r="A28" t="str">
            <v>Nebraska</v>
          </cell>
        </row>
        <row r="29">
          <cell r="A29" t="str">
            <v>Nevada</v>
          </cell>
        </row>
        <row r="30">
          <cell r="A30" t="str">
            <v>New Hampshire</v>
          </cell>
        </row>
        <row r="31">
          <cell r="A31" t="str">
            <v>New Jersey</v>
          </cell>
        </row>
        <row r="32">
          <cell r="A32" t="str">
            <v>New Mexico</v>
          </cell>
        </row>
        <row r="33">
          <cell r="A33" t="str">
            <v>New York</v>
          </cell>
        </row>
        <row r="34">
          <cell r="A34" t="str">
            <v>North Carolina</v>
          </cell>
        </row>
        <row r="35">
          <cell r="A35" t="str">
            <v>North Dakota</v>
          </cell>
        </row>
        <row r="36">
          <cell r="A36" t="str">
            <v>Ohio</v>
          </cell>
        </row>
        <row r="37">
          <cell r="A37" t="str">
            <v>Oklahoma</v>
          </cell>
        </row>
        <row r="38">
          <cell r="A38" t="str">
            <v>Oregon</v>
          </cell>
        </row>
        <row r="39">
          <cell r="A39" t="str">
            <v>Pennsylvania</v>
          </cell>
        </row>
        <row r="40">
          <cell r="A40" t="str">
            <v>Puerto Rico</v>
          </cell>
        </row>
        <row r="41">
          <cell r="A41" t="str">
            <v>Rhode Island</v>
          </cell>
        </row>
        <row r="42">
          <cell r="A42" t="str">
            <v>South Carolina</v>
          </cell>
        </row>
        <row r="43">
          <cell r="A43" t="str">
            <v>South Dakota</v>
          </cell>
        </row>
        <row r="44">
          <cell r="A44" t="str">
            <v>Tennessee</v>
          </cell>
        </row>
        <row r="45">
          <cell r="A45" t="str">
            <v>Texas</v>
          </cell>
        </row>
        <row r="46">
          <cell r="A46" t="str">
            <v>Utah</v>
          </cell>
        </row>
        <row r="47">
          <cell r="A47" t="str">
            <v>Vermont</v>
          </cell>
        </row>
        <row r="48">
          <cell r="A48" t="str">
            <v>Virginia</v>
          </cell>
        </row>
        <row r="49">
          <cell r="A49" t="str">
            <v>Washington</v>
          </cell>
        </row>
        <row r="50">
          <cell r="A50" t="str">
            <v>West Virginia</v>
          </cell>
        </row>
        <row r="51">
          <cell r="A51" t="str">
            <v>Wisconsin</v>
          </cell>
        </row>
        <row r="52">
          <cell r="A52" t="str">
            <v>Wyoming</v>
          </cell>
        </row>
      </sheetData>
      <sheetData sheetId="43"/>
      <sheetData sheetId="4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FEMAcostcodes"/>
      <sheetName val="PW FACT SHEET"/>
      <sheetName val="FILL OUT FIRST - TOC"/>
      <sheetName val="PW"/>
      <sheetName val="DDD-SOW CONTINUATION"/>
      <sheetName val="SCOPE NOTES"/>
      <sheetName val="COST CONTINUATION"/>
      <sheetName val="SC"/>
      <sheetName val="HMP"/>
      <sheetName val="HAZMIT SUM"/>
      <sheetName val="PW PNP FACILITY QUESTIONNAIRE"/>
      <sheetName val="DIRECT ADMIN COSTS"/>
      <sheetName val="FORCE ACCOUNT SUMMARY"/>
      <sheetName val="PAYROLL DATA"/>
      <sheetName val="FRINGE"/>
      <sheetName val="LABOR"/>
      <sheetName val="EQUIPMENT INVENTORY"/>
      <sheetName val="EQUIPMENT"/>
      <sheetName val="MATERIALS"/>
      <sheetName val="CONTRACTS"/>
      <sheetName val="RENTAL EQUIPMENT"/>
      <sheetName val="PHOTOS"/>
      <sheetName val="LOCATION MAP"/>
      <sheetName val="FIRMETTE"/>
      <sheetName val="CODESEARCH"/>
      <sheetName val="DO NOT SCAN"/>
      <sheetName val="BACKUP"/>
      <sheetName val="NARRATIVE"/>
      <sheetName val="SITE COSTS"/>
      <sheetName val="Estimator I"/>
      <sheetName val="Estimator II"/>
      <sheetName val="REPETITIVE LOSS"/>
      <sheetName val="RPA"/>
      <sheetName val="PNP RPA FORM"/>
      <sheetName val="EXIT BRIEFING"/>
      <sheetName val="Utility"/>
      <sheetName val="States"/>
      <sheetName val="Coun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FEMAcostcodes"/>
      <sheetName val="PW FACT SHEET"/>
      <sheetName val="FILL OUT FIRST - TOC"/>
      <sheetName val="PW"/>
      <sheetName val="DDD-SOW CONTINUATION"/>
      <sheetName val="SCOPE NOTES"/>
      <sheetName val="COST CONTINUATION"/>
      <sheetName val="SC"/>
      <sheetName val="HMP"/>
      <sheetName val="HAZMIT SUM"/>
      <sheetName val="PW PNP FACILITY QUESTIONNAIRE"/>
      <sheetName val="DIRECT ADMIN COSTS"/>
      <sheetName val="FORCE ACCOUNT SUMMARY"/>
      <sheetName val="PAYROLL DATA"/>
      <sheetName val="FRINGE"/>
      <sheetName val="LABOR"/>
      <sheetName val="EQUIPMENT INVENTORY"/>
      <sheetName val="EQUIPMENT"/>
      <sheetName val="MATERIALS"/>
      <sheetName val="CONTRACTS"/>
      <sheetName val="RENTAL EQUIPMENT"/>
      <sheetName val="PHOTOS"/>
      <sheetName val="LOCATION MAP"/>
      <sheetName val="FIRMETTE"/>
      <sheetName val="CODESEARCH"/>
      <sheetName val="DO NOT SCAN"/>
      <sheetName val="BACKUP"/>
      <sheetName val="NARRATIVE"/>
      <sheetName val="SITE COSTS"/>
      <sheetName val="Estimator I"/>
      <sheetName val="Estimator II"/>
      <sheetName val="REPETITIVE LOSS"/>
      <sheetName val="RPA"/>
      <sheetName val="PNP RPA FORM"/>
      <sheetName val="EXIT BRIEFING"/>
      <sheetName val="Utility"/>
      <sheetName val="States"/>
      <sheetName val="Coun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2.xml"/><Relationship Id="rId1" Type="http://schemas.openxmlformats.org/officeDocument/2006/relationships/printerSettings" Target="../printerSettings/printerSettings10.bin"/><Relationship Id="rId6" Type="http://schemas.openxmlformats.org/officeDocument/2006/relationships/control" Target="../activeX/activeX2.xml"/><Relationship Id="rId5" Type="http://schemas.openxmlformats.org/officeDocument/2006/relationships/image" Target="../media/image1.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8CA14"/>
    <pageSetUpPr fitToPage="1"/>
  </sheetPr>
  <dimension ref="A1:MD1235"/>
  <sheetViews>
    <sheetView showZeros="0" zoomScale="85" zoomScaleNormal="85" workbookViewId="0">
      <pane ySplit="10" topLeftCell="A11" activePane="bottomLeft" state="frozen"/>
      <selection pane="bottomLeft" activeCell="A11" sqref="A11"/>
    </sheetView>
  </sheetViews>
  <sheetFormatPr defaultColWidth="8.88671875" defaultRowHeight="13.2"/>
  <cols>
    <col min="1" max="1" width="8.88671875" style="116"/>
    <col min="2" max="2" width="8.5546875" style="116" bestFit="1" customWidth="1"/>
    <col min="3" max="3" width="49.44140625" style="143" customWidth="1"/>
    <col min="4" max="4" width="11.5546875" style="168" customWidth="1"/>
    <col min="5" max="5" width="8.88671875" style="116" customWidth="1"/>
    <col min="6" max="6" width="10.109375" style="145" customWidth="1"/>
    <col min="7" max="7" width="14.6640625" style="144" customWidth="1"/>
    <col min="8" max="8" width="41" style="146" customWidth="1"/>
    <col min="9" max="339" width="8.88671875" style="119"/>
    <col min="340" max="340" width="53.88671875" style="119" customWidth="1"/>
    <col min="341" max="341" width="8.88671875" style="119"/>
    <col min="342" max="342" width="8.88671875" style="141"/>
    <col min="343" max="16384" width="8.88671875" style="119"/>
  </cols>
  <sheetData>
    <row r="1" spans="1:342" ht="12.9" customHeight="1" thickBot="1">
      <c r="C1" s="119"/>
      <c r="E1" s="148"/>
      <c r="F1" s="277" t="s">
        <v>1317</v>
      </c>
      <c r="G1" s="278"/>
    </row>
    <row r="2" spans="1:342" ht="16.2" thickBot="1">
      <c r="C2" s="119"/>
      <c r="D2" s="124"/>
      <c r="F2" s="152" t="s">
        <v>2</v>
      </c>
      <c r="G2" s="151">
        <f>SUMIF($A$11:$A$84,F2,$G$11:$G$84)</f>
        <v>0</v>
      </c>
    </row>
    <row r="3" spans="1:342" ht="16.2" thickBot="1">
      <c r="C3" s="119"/>
      <c r="D3" s="124"/>
      <c r="F3" s="152" t="s">
        <v>3</v>
      </c>
      <c r="G3" s="151">
        <f>SUMIF($A$11:$A$84,F3,$G$11:$G$84)</f>
        <v>0</v>
      </c>
    </row>
    <row r="4" spans="1:342" ht="16.2" thickBot="1">
      <c r="C4" s="119"/>
      <c r="D4" s="124"/>
      <c r="F4" s="152" t="s">
        <v>4</v>
      </c>
      <c r="G4" s="151">
        <f>SUMIF($A$11:$A$84,F4,$G$11:$G$84)</f>
        <v>0</v>
      </c>
    </row>
    <row r="5" spans="1:342" ht="16.2" thickBot="1">
      <c r="C5" s="119"/>
      <c r="D5" s="124"/>
      <c r="F5" s="152" t="s">
        <v>5</v>
      </c>
      <c r="G5" s="151">
        <f>SUMIF($A$11:$A$84,F5,$G$11:$G$84)</f>
        <v>0</v>
      </c>
    </row>
    <row r="6" spans="1:342" ht="16.2" thickBot="1">
      <c r="C6" s="119"/>
      <c r="D6" s="124"/>
      <c r="F6" s="152" t="s">
        <v>6</v>
      </c>
      <c r="G6" s="151">
        <f>SUMIF($A$11:$A$84,F6,$G$11:$G$84)</f>
        <v>0</v>
      </c>
    </row>
    <row r="7" spans="1:342" ht="13.8" thickBot="1">
      <c r="F7" s="150" t="s">
        <v>1318</v>
      </c>
      <c r="G7" s="149">
        <f>SUM(G2:G6)</f>
        <v>0</v>
      </c>
    </row>
    <row r="9" spans="1:342" ht="13.8" thickBot="1"/>
    <row r="10" spans="1:342" s="116" customFormat="1" ht="27" thickBot="1">
      <c r="A10" s="142" t="s">
        <v>1</v>
      </c>
      <c r="B10" s="112" t="s">
        <v>133</v>
      </c>
      <c r="C10" s="112" t="s">
        <v>134</v>
      </c>
      <c r="D10" s="113" t="s">
        <v>135</v>
      </c>
      <c r="E10" s="112" t="s">
        <v>136</v>
      </c>
      <c r="F10" s="114" t="s">
        <v>137</v>
      </c>
      <c r="G10" s="113" t="s">
        <v>138</v>
      </c>
      <c r="H10" s="115" t="s">
        <v>139</v>
      </c>
      <c r="LZ10" s="117" t="s">
        <v>133</v>
      </c>
      <c r="MA10" s="116" t="s">
        <v>136</v>
      </c>
      <c r="MB10" s="116" t="s">
        <v>134</v>
      </c>
      <c r="MC10" s="116" t="s">
        <v>135</v>
      </c>
      <c r="MD10" s="118" t="s">
        <v>139</v>
      </c>
    </row>
    <row r="11" spans="1:342" ht="20.399999999999999">
      <c r="A11" s="153"/>
      <c r="B11" s="154"/>
      <c r="C11" s="155" t="str">
        <f t="shared" ref="C11:C49" si="0">IF(ISBLANK(B11)," ",VLOOKUP(B11,LZ11:MD1235,3,FALSE))</f>
        <v xml:space="preserve"> </v>
      </c>
      <c r="D11" s="169" t="str">
        <f t="shared" ref="D11:D49" si="1">IF(ISBLANK(B11)," ",VLOOKUP(B11,LZ11:MD1235,4,FALSE))</f>
        <v xml:space="preserve"> </v>
      </c>
      <c r="E11" s="157" t="str">
        <f t="shared" ref="E11:E49" si="2">IF(ISBLANK(B11)," ",VLOOKUP(B11,LZ11:MD1235,2,FALSE))</f>
        <v xml:space="preserve"> </v>
      </c>
      <c r="F11" s="172"/>
      <c r="G11" s="156" t="str">
        <f>IF(ISERROR(D11*F11)," ",D11*F11)</f>
        <v xml:space="preserve"> </v>
      </c>
      <c r="H11" s="173"/>
      <c r="LZ11" s="120">
        <v>0</v>
      </c>
      <c r="MA11" s="121" t="s">
        <v>140</v>
      </c>
      <c r="MB11" s="121" t="s">
        <v>141</v>
      </c>
      <c r="MC11" s="122" t="s">
        <v>142</v>
      </c>
      <c r="MD11" s="123"/>
    </row>
    <row r="12" spans="1:342">
      <c r="A12" s="158"/>
      <c r="B12" s="159"/>
      <c r="C12" s="160" t="str">
        <f t="shared" si="0"/>
        <v xml:space="preserve"> </v>
      </c>
      <c r="D12" s="170" t="str">
        <f t="shared" si="1"/>
        <v xml:space="preserve"> </v>
      </c>
      <c r="E12" s="162" t="str">
        <f t="shared" si="2"/>
        <v xml:space="preserve"> </v>
      </c>
      <c r="F12" s="163"/>
      <c r="G12" s="161" t="str">
        <f t="shared" ref="G12:G84" si="3">IF(ISERROR(D12*F12)," ",D12*F12)</f>
        <v xml:space="preserve"> </v>
      </c>
      <c r="H12" s="174"/>
      <c r="LZ12" s="120">
        <v>852</v>
      </c>
      <c r="MA12" s="121" t="s">
        <v>140</v>
      </c>
      <c r="MB12" s="121" t="s">
        <v>143</v>
      </c>
      <c r="MC12" s="122" t="s">
        <v>142</v>
      </c>
      <c r="MD12" s="123"/>
    </row>
    <row r="13" spans="1:342">
      <c r="A13" s="158"/>
      <c r="B13" s="159"/>
      <c r="C13" s="160" t="str">
        <f t="shared" si="0"/>
        <v xml:space="preserve"> </v>
      </c>
      <c r="D13" s="170" t="str">
        <f t="shared" si="1"/>
        <v xml:space="preserve"> </v>
      </c>
      <c r="E13" s="162" t="str">
        <f t="shared" si="2"/>
        <v xml:space="preserve"> </v>
      </c>
      <c r="F13" s="163"/>
      <c r="G13" s="161" t="str">
        <f t="shared" si="3"/>
        <v xml:space="preserve"> </v>
      </c>
      <c r="H13" s="174"/>
      <c r="LZ13" s="123"/>
      <c r="MA13" s="121"/>
      <c r="MB13" s="121" t="s">
        <v>144</v>
      </c>
      <c r="MC13" s="122"/>
      <c r="MD13" s="123"/>
    </row>
    <row r="14" spans="1:342">
      <c r="A14" s="158"/>
      <c r="B14" s="159"/>
      <c r="C14" s="160" t="str">
        <f t="shared" si="0"/>
        <v xml:space="preserve"> </v>
      </c>
      <c r="D14" s="170" t="str">
        <f t="shared" si="1"/>
        <v xml:space="preserve"> </v>
      </c>
      <c r="E14" s="162" t="str">
        <f t="shared" si="2"/>
        <v xml:space="preserve"> </v>
      </c>
      <c r="F14" s="163"/>
      <c r="G14" s="161" t="str">
        <f t="shared" si="3"/>
        <v xml:space="preserve"> </v>
      </c>
      <c r="H14" s="174"/>
      <c r="LZ14" s="120">
        <v>909</v>
      </c>
      <c r="MA14" s="121" t="s">
        <v>140</v>
      </c>
      <c r="MB14" s="121" t="s">
        <v>145</v>
      </c>
      <c r="MC14" s="122" t="s">
        <v>142</v>
      </c>
      <c r="MD14" s="123"/>
    </row>
    <row r="15" spans="1:342">
      <c r="A15" s="158"/>
      <c r="B15" s="159"/>
      <c r="C15" s="160" t="str">
        <f t="shared" si="0"/>
        <v xml:space="preserve"> </v>
      </c>
      <c r="D15" s="170" t="str">
        <f t="shared" si="1"/>
        <v xml:space="preserve"> </v>
      </c>
      <c r="E15" s="162" t="str">
        <f t="shared" si="2"/>
        <v xml:space="preserve"> </v>
      </c>
      <c r="F15" s="163"/>
      <c r="G15" s="161" t="str">
        <f t="shared" si="3"/>
        <v xml:space="preserve"> </v>
      </c>
      <c r="H15" s="174"/>
      <c r="LZ15" s="123"/>
      <c r="MA15" s="121"/>
      <c r="MB15" s="121" t="s">
        <v>146</v>
      </c>
      <c r="MC15" s="122"/>
      <c r="MD15" s="123"/>
    </row>
    <row r="16" spans="1:342">
      <c r="A16" s="158"/>
      <c r="B16" s="159"/>
      <c r="C16" s="160" t="str">
        <f t="shared" si="0"/>
        <v xml:space="preserve"> </v>
      </c>
      <c r="D16" s="170" t="str">
        <f t="shared" si="1"/>
        <v xml:space="preserve"> </v>
      </c>
      <c r="E16" s="162" t="str">
        <f t="shared" si="2"/>
        <v xml:space="preserve"> </v>
      </c>
      <c r="F16" s="163"/>
      <c r="G16" s="161" t="str">
        <f t="shared" si="3"/>
        <v xml:space="preserve"> </v>
      </c>
      <c r="H16" s="174"/>
      <c r="LZ16" s="120">
        <v>1001</v>
      </c>
      <c r="MA16" s="121" t="s">
        <v>147</v>
      </c>
      <c r="MB16" s="121" t="s">
        <v>148</v>
      </c>
      <c r="MC16" s="122" t="s">
        <v>142</v>
      </c>
      <c r="MD16" s="123"/>
    </row>
    <row r="17" spans="1:342">
      <c r="A17" s="158"/>
      <c r="B17" s="159"/>
      <c r="C17" s="160" t="str">
        <f t="shared" si="0"/>
        <v xml:space="preserve"> </v>
      </c>
      <c r="D17" s="170" t="str">
        <f t="shared" si="1"/>
        <v xml:space="preserve"> </v>
      </c>
      <c r="E17" s="162" t="str">
        <f t="shared" si="2"/>
        <v xml:space="preserve"> </v>
      </c>
      <c r="F17" s="163"/>
      <c r="G17" s="161" t="str">
        <f t="shared" si="3"/>
        <v xml:space="preserve"> </v>
      </c>
      <c r="H17" s="174"/>
      <c r="LZ17" s="123"/>
      <c r="MA17" s="121"/>
      <c r="MB17" s="121" t="s">
        <v>149</v>
      </c>
      <c r="MC17" s="122"/>
      <c r="MD17" s="123"/>
    </row>
    <row r="18" spans="1:342">
      <c r="A18" s="158"/>
      <c r="B18" s="159"/>
      <c r="C18" s="160" t="str">
        <f t="shared" si="0"/>
        <v xml:space="preserve"> </v>
      </c>
      <c r="D18" s="170" t="str">
        <f t="shared" si="1"/>
        <v xml:space="preserve"> </v>
      </c>
      <c r="E18" s="162" t="str">
        <f t="shared" si="2"/>
        <v xml:space="preserve"> </v>
      </c>
      <c r="F18" s="163"/>
      <c r="G18" s="161" t="str">
        <f t="shared" si="3"/>
        <v xml:space="preserve"> </v>
      </c>
      <c r="H18" s="174"/>
      <c r="LZ18" s="120">
        <v>1002</v>
      </c>
      <c r="MA18" s="121" t="s">
        <v>147</v>
      </c>
      <c r="MB18" s="121" t="s">
        <v>150</v>
      </c>
      <c r="MC18" s="122" t="s">
        <v>142</v>
      </c>
      <c r="MD18" s="123"/>
    </row>
    <row r="19" spans="1:342">
      <c r="A19" s="158"/>
      <c r="B19" s="159"/>
      <c r="C19" s="160" t="str">
        <f t="shared" si="0"/>
        <v xml:space="preserve"> </v>
      </c>
      <c r="D19" s="170" t="str">
        <f t="shared" si="1"/>
        <v xml:space="preserve"> </v>
      </c>
      <c r="E19" s="162" t="str">
        <f t="shared" si="2"/>
        <v xml:space="preserve"> </v>
      </c>
      <c r="F19" s="163"/>
      <c r="G19" s="161" t="str">
        <f t="shared" si="3"/>
        <v xml:space="preserve"> </v>
      </c>
      <c r="H19" s="174"/>
      <c r="LZ19" s="123"/>
      <c r="MA19" s="121"/>
      <c r="MB19" s="121" t="s">
        <v>151</v>
      </c>
      <c r="MC19" s="122"/>
      <c r="MD19" s="123"/>
    </row>
    <row r="20" spans="1:342">
      <c r="A20" s="158"/>
      <c r="B20" s="159"/>
      <c r="C20" s="160" t="str">
        <f t="shared" si="0"/>
        <v xml:space="preserve"> </v>
      </c>
      <c r="D20" s="170" t="str">
        <f t="shared" si="1"/>
        <v xml:space="preserve"> </v>
      </c>
      <c r="E20" s="162" t="str">
        <f t="shared" si="2"/>
        <v xml:space="preserve"> </v>
      </c>
      <c r="F20" s="163"/>
      <c r="G20" s="161" t="str">
        <f t="shared" si="3"/>
        <v xml:space="preserve"> </v>
      </c>
      <c r="H20" s="174"/>
      <c r="LZ20" s="120">
        <v>1003</v>
      </c>
      <c r="MA20" s="121" t="s">
        <v>147</v>
      </c>
      <c r="MB20" s="121" t="s">
        <v>152</v>
      </c>
      <c r="MC20" s="122" t="s">
        <v>142</v>
      </c>
      <c r="MD20" s="123"/>
    </row>
    <row r="21" spans="1:342">
      <c r="A21" s="158"/>
      <c r="B21" s="159"/>
      <c r="C21" s="160" t="str">
        <f t="shared" si="0"/>
        <v xml:space="preserve"> </v>
      </c>
      <c r="D21" s="170" t="str">
        <f t="shared" si="1"/>
        <v xml:space="preserve"> </v>
      </c>
      <c r="E21" s="162" t="str">
        <f t="shared" si="2"/>
        <v xml:space="preserve"> </v>
      </c>
      <c r="F21" s="163"/>
      <c r="G21" s="161" t="str">
        <f t="shared" si="3"/>
        <v xml:space="preserve"> </v>
      </c>
      <c r="H21" s="174"/>
      <c r="LZ21" s="123"/>
      <c r="MA21" s="121"/>
      <c r="MB21" s="121" t="s">
        <v>153</v>
      </c>
      <c r="MC21" s="122"/>
      <c r="MD21" s="123"/>
    </row>
    <row r="22" spans="1:342" ht="15.6" customHeight="1">
      <c r="A22" s="158"/>
      <c r="B22" s="159"/>
      <c r="C22" s="160" t="str">
        <f t="shared" si="0"/>
        <v xml:space="preserve"> </v>
      </c>
      <c r="D22" s="170" t="str">
        <f t="shared" si="1"/>
        <v xml:space="preserve"> </v>
      </c>
      <c r="E22" s="162" t="str">
        <f t="shared" si="2"/>
        <v xml:space="preserve"> </v>
      </c>
      <c r="F22" s="163"/>
      <c r="G22" s="161" t="str">
        <f t="shared" si="3"/>
        <v xml:space="preserve"> </v>
      </c>
      <c r="H22" s="174"/>
      <c r="LZ22" s="123"/>
      <c r="MA22" s="121"/>
      <c r="MB22" s="121" t="s">
        <v>154</v>
      </c>
      <c r="MC22" s="122"/>
      <c r="MD22" s="123"/>
    </row>
    <row r="23" spans="1:342">
      <c r="A23" s="158"/>
      <c r="B23" s="159"/>
      <c r="C23" s="160" t="str">
        <f t="shared" si="0"/>
        <v xml:space="preserve"> </v>
      </c>
      <c r="D23" s="170" t="str">
        <f t="shared" si="1"/>
        <v xml:space="preserve"> </v>
      </c>
      <c r="E23" s="162" t="str">
        <f t="shared" si="2"/>
        <v xml:space="preserve"> </v>
      </c>
      <c r="F23" s="163"/>
      <c r="G23" s="161" t="str">
        <f t="shared" si="3"/>
        <v xml:space="preserve"> </v>
      </c>
      <c r="H23" s="174"/>
      <c r="LZ23" s="123"/>
      <c r="MA23" s="121"/>
      <c r="MB23" s="121" t="s">
        <v>155</v>
      </c>
      <c r="MC23" s="122"/>
      <c r="MD23" s="123"/>
    </row>
    <row r="24" spans="1:342">
      <c r="A24" s="158"/>
      <c r="B24" s="159"/>
      <c r="C24" s="160" t="str">
        <f t="shared" si="0"/>
        <v xml:space="preserve"> </v>
      </c>
      <c r="D24" s="170" t="str">
        <f t="shared" si="1"/>
        <v xml:space="preserve"> </v>
      </c>
      <c r="E24" s="162" t="str">
        <f t="shared" si="2"/>
        <v xml:space="preserve"> </v>
      </c>
      <c r="F24" s="163"/>
      <c r="G24" s="161" t="str">
        <f t="shared" si="3"/>
        <v xml:space="preserve"> </v>
      </c>
      <c r="H24" s="174"/>
      <c r="LZ24" s="120">
        <v>1004</v>
      </c>
      <c r="MA24" s="121" t="s">
        <v>147</v>
      </c>
      <c r="MB24" s="121" t="s">
        <v>156</v>
      </c>
      <c r="MC24" s="122" t="s">
        <v>142</v>
      </c>
      <c r="MD24" s="123"/>
    </row>
    <row r="25" spans="1:342">
      <c r="A25" s="158"/>
      <c r="B25" s="159"/>
      <c r="C25" s="160" t="str">
        <f t="shared" si="0"/>
        <v xml:space="preserve"> </v>
      </c>
      <c r="D25" s="170" t="str">
        <f t="shared" si="1"/>
        <v xml:space="preserve"> </v>
      </c>
      <c r="E25" s="162" t="str">
        <f t="shared" si="2"/>
        <v xml:space="preserve"> </v>
      </c>
      <c r="F25" s="163"/>
      <c r="G25" s="161" t="str">
        <f t="shared" si="3"/>
        <v xml:space="preserve"> </v>
      </c>
      <c r="H25" s="174"/>
      <c r="LZ25" s="123"/>
      <c r="MA25" s="121"/>
      <c r="MB25" s="121" t="s">
        <v>157</v>
      </c>
      <c r="MC25" s="122"/>
      <c r="MD25" s="123"/>
    </row>
    <row r="26" spans="1:342">
      <c r="A26" s="158"/>
      <c r="B26" s="159"/>
      <c r="C26" s="160" t="str">
        <f t="shared" si="0"/>
        <v xml:space="preserve"> </v>
      </c>
      <c r="D26" s="170" t="str">
        <f t="shared" si="1"/>
        <v xml:space="preserve"> </v>
      </c>
      <c r="E26" s="162" t="str">
        <f t="shared" si="2"/>
        <v xml:space="preserve"> </v>
      </c>
      <c r="F26" s="163"/>
      <c r="G26" s="161" t="str">
        <f t="shared" si="3"/>
        <v xml:space="preserve"> </v>
      </c>
      <c r="H26" s="174"/>
      <c r="LZ26" s="123"/>
      <c r="MA26" s="121"/>
      <c r="MB26" s="121" t="s">
        <v>158</v>
      </c>
      <c r="MC26" s="122"/>
      <c r="MD26" s="123"/>
    </row>
    <row r="27" spans="1:342">
      <c r="A27" s="158"/>
      <c r="B27" s="159"/>
      <c r="C27" s="160" t="str">
        <f t="shared" si="0"/>
        <v xml:space="preserve"> </v>
      </c>
      <c r="D27" s="170" t="str">
        <f t="shared" si="1"/>
        <v xml:space="preserve"> </v>
      </c>
      <c r="E27" s="162" t="str">
        <f t="shared" si="2"/>
        <v xml:space="preserve"> </v>
      </c>
      <c r="F27" s="163"/>
      <c r="G27" s="161" t="str">
        <f t="shared" si="3"/>
        <v xml:space="preserve"> </v>
      </c>
      <c r="H27" s="174"/>
      <c r="LZ27" s="123"/>
      <c r="MA27" s="121"/>
      <c r="MB27" s="121" t="s">
        <v>159</v>
      </c>
      <c r="MC27" s="122"/>
      <c r="MD27" s="123"/>
    </row>
    <row r="28" spans="1:342">
      <c r="A28" s="158"/>
      <c r="B28" s="159"/>
      <c r="C28" s="160" t="str">
        <f t="shared" si="0"/>
        <v xml:space="preserve"> </v>
      </c>
      <c r="D28" s="170" t="str">
        <f t="shared" si="1"/>
        <v xml:space="preserve"> </v>
      </c>
      <c r="E28" s="162" t="str">
        <f t="shared" si="2"/>
        <v xml:space="preserve"> </v>
      </c>
      <c r="F28" s="163"/>
      <c r="G28" s="161" t="str">
        <f t="shared" si="3"/>
        <v xml:space="preserve"> </v>
      </c>
      <c r="H28" s="174"/>
      <c r="LZ28" s="120">
        <v>1005</v>
      </c>
      <c r="MA28" s="121" t="s">
        <v>147</v>
      </c>
      <c r="MB28" s="121" t="s">
        <v>160</v>
      </c>
      <c r="MC28" s="122" t="s">
        <v>142</v>
      </c>
      <c r="MD28" s="123"/>
    </row>
    <row r="29" spans="1:342">
      <c r="A29" s="158"/>
      <c r="B29" s="159"/>
      <c r="C29" s="160" t="str">
        <f t="shared" si="0"/>
        <v xml:space="preserve"> </v>
      </c>
      <c r="D29" s="170" t="str">
        <f t="shared" si="1"/>
        <v xml:space="preserve"> </v>
      </c>
      <c r="E29" s="162" t="str">
        <f t="shared" si="2"/>
        <v xml:space="preserve"> </v>
      </c>
      <c r="F29" s="163"/>
      <c r="G29" s="161" t="str">
        <f t="shared" si="3"/>
        <v xml:space="preserve"> </v>
      </c>
      <c r="H29" s="174"/>
      <c r="LZ29" s="123"/>
      <c r="MA29" s="121"/>
      <c r="MB29" s="121" t="s">
        <v>161</v>
      </c>
      <c r="MC29" s="122"/>
      <c r="MD29" s="123"/>
    </row>
    <row r="30" spans="1:342">
      <c r="A30" s="158"/>
      <c r="B30" s="159"/>
      <c r="C30" s="160" t="str">
        <f t="shared" si="0"/>
        <v xml:space="preserve"> </v>
      </c>
      <c r="D30" s="170" t="str">
        <f t="shared" si="1"/>
        <v xml:space="preserve"> </v>
      </c>
      <c r="E30" s="162" t="str">
        <f t="shared" si="2"/>
        <v xml:space="preserve"> </v>
      </c>
      <c r="F30" s="163"/>
      <c r="G30" s="161" t="str">
        <f t="shared" si="3"/>
        <v xml:space="preserve"> </v>
      </c>
      <c r="H30" s="174"/>
      <c r="LZ30" s="120">
        <v>1010</v>
      </c>
      <c r="MA30" s="121" t="s">
        <v>162</v>
      </c>
      <c r="MB30" s="121" t="s">
        <v>163</v>
      </c>
      <c r="MC30" s="122" t="s">
        <v>164</v>
      </c>
      <c r="MD30" s="123"/>
    </row>
    <row r="31" spans="1:342">
      <c r="A31" s="158"/>
      <c r="B31" s="159"/>
      <c r="C31" s="160" t="str">
        <f t="shared" si="0"/>
        <v xml:space="preserve"> </v>
      </c>
      <c r="D31" s="170" t="str">
        <f t="shared" si="1"/>
        <v xml:space="preserve"> </v>
      </c>
      <c r="E31" s="162" t="str">
        <f t="shared" si="2"/>
        <v xml:space="preserve"> </v>
      </c>
      <c r="F31" s="163"/>
      <c r="G31" s="161" t="str">
        <f t="shared" si="3"/>
        <v xml:space="preserve"> </v>
      </c>
      <c r="H31" s="174"/>
      <c r="LZ31" s="123"/>
      <c r="MA31" s="121"/>
      <c r="MB31" s="121" t="s">
        <v>165</v>
      </c>
      <c r="MC31" s="122"/>
      <c r="MD31" s="123"/>
    </row>
    <row r="32" spans="1:342">
      <c r="A32" s="158"/>
      <c r="B32" s="159"/>
      <c r="C32" s="160" t="str">
        <f t="shared" si="0"/>
        <v xml:space="preserve"> </v>
      </c>
      <c r="D32" s="170" t="str">
        <f t="shared" si="1"/>
        <v xml:space="preserve"> </v>
      </c>
      <c r="E32" s="162" t="str">
        <f t="shared" si="2"/>
        <v xml:space="preserve"> </v>
      </c>
      <c r="F32" s="163"/>
      <c r="G32" s="161" t="str">
        <f t="shared" si="3"/>
        <v xml:space="preserve"> </v>
      </c>
      <c r="H32" s="174"/>
      <c r="LZ32" s="120">
        <v>1011</v>
      </c>
      <c r="MA32" s="121" t="s">
        <v>162</v>
      </c>
      <c r="MB32" s="121" t="s">
        <v>150</v>
      </c>
      <c r="MC32" s="122" t="s">
        <v>166</v>
      </c>
      <c r="MD32" s="123"/>
    </row>
    <row r="33" spans="1:342">
      <c r="A33" s="158"/>
      <c r="B33" s="159"/>
      <c r="C33" s="160" t="str">
        <f t="shared" si="0"/>
        <v xml:space="preserve"> </v>
      </c>
      <c r="D33" s="170" t="str">
        <f t="shared" si="1"/>
        <v xml:space="preserve"> </v>
      </c>
      <c r="E33" s="162" t="str">
        <f t="shared" si="2"/>
        <v xml:space="preserve"> </v>
      </c>
      <c r="F33" s="163"/>
      <c r="G33" s="161" t="str">
        <f t="shared" si="3"/>
        <v xml:space="preserve"> </v>
      </c>
      <c r="H33" s="174"/>
      <c r="LZ33" s="123"/>
      <c r="MA33" s="121"/>
      <c r="MB33" s="121" t="s">
        <v>167</v>
      </c>
      <c r="MC33" s="122"/>
      <c r="MD33" s="123"/>
    </row>
    <row r="34" spans="1:342">
      <c r="A34" s="158"/>
      <c r="B34" s="159"/>
      <c r="C34" s="160" t="str">
        <f t="shared" si="0"/>
        <v xml:space="preserve"> </v>
      </c>
      <c r="D34" s="170" t="str">
        <f t="shared" si="1"/>
        <v xml:space="preserve"> </v>
      </c>
      <c r="E34" s="162" t="str">
        <f t="shared" si="2"/>
        <v xml:space="preserve"> </v>
      </c>
      <c r="F34" s="163"/>
      <c r="G34" s="161" t="str">
        <f t="shared" si="3"/>
        <v xml:space="preserve"> </v>
      </c>
      <c r="H34" s="174"/>
      <c r="LZ34" s="120">
        <v>1012</v>
      </c>
      <c r="MA34" s="121" t="s">
        <v>162</v>
      </c>
      <c r="MB34" s="121" t="s">
        <v>152</v>
      </c>
      <c r="MC34" s="122" t="s">
        <v>168</v>
      </c>
      <c r="MD34" s="123"/>
    </row>
    <row r="35" spans="1:342">
      <c r="A35" s="158"/>
      <c r="B35" s="159"/>
      <c r="C35" s="160" t="str">
        <f t="shared" si="0"/>
        <v xml:space="preserve"> </v>
      </c>
      <c r="D35" s="170" t="str">
        <f t="shared" si="1"/>
        <v xml:space="preserve"> </v>
      </c>
      <c r="E35" s="162" t="str">
        <f t="shared" si="2"/>
        <v xml:space="preserve"> </v>
      </c>
      <c r="F35" s="163"/>
      <c r="G35" s="161" t="str">
        <f t="shared" si="3"/>
        <v xml:space="preserve"> </v>
      </c>
      <c r="H35" s="174"/>
      <c r="LZ35" s="123"/>
      <c r="MA35" s="121"/>
      <c r="MB35" s="121" t="s">
        <v>153</v>
      </c>
      <c r="MC35" s="122"/>
      <c r="MD35" s="123"/>
    </row>
    <row r="36" spans="1:342">
      <c r="A36" s="158"/>
      <c r="B36" s="159"/>
      <c r="C36" s="160" t="str">
        <f t="shared" si="0"/>
        <v xml:space="preserve"> </v>
      </c>
      <c r="D36" s="170" t="str">
        <f t="shared" si="1"/>
        <v xml:space="preserve"> </v>
      </c>
      <c r="E36" s="162" t="str">
        <f t="shared" si="2"/>
        <v xml:space="preserve"> </v>
      </c>
      <c r="F36" s="163"/>
      <c r="G36" s="161" t="str">
        <f t="shared" si="3"/>
        <v xml:space="preserve"> </v>
      </c>
      <c r="H36" s="174"/>
      <c r="LZ36" s="123"/>
      <c r="MA36" s="121"/>
      <c r="MB36" s="121" t="s">
        <v>169</v>
      </c>
      <c r="MC36" s="122"/>
      <c r="MD36" s="123"/>
    </row>
    <row r="37" spans="1:342">
      <c r="A37" s="158"/>
      <c r="B37" s="159"/>
      <c r="C37" s="160" t="str">
        <f t="shared" si="0"/>
        <v xml:space="preserve"> </v>
      </c>
      <c r="D37" s="170" t="str">
        <f t="shared" si="1"/>
        <v xml:space="preserve"> </v>
      </c>
      <c r="E37" s="162" t="str">
        <f t="shared" si="2"/>
        <v xml:space="preserve"> </v>
      </c>
      <c r="F37" s="163"/>
      <c r="G37" s="161" t="str">
        <f t="shared" si="3"/>
        <v xml:space="preserve"> </v>
      </c>
      <c r="H37" s="174"/>
      <c r="LZ37" s="123"/>
      <c r="MA37" s="121"/>
      <c r="MB37" s="121" t="s">
        <v>170</v>
      </c>
      <c r="MC37" s="122"/>
      <c r="MD37" s="123"/>
    </row>
    <row r="38" spans="1:342">
      <c r="A38" s="158"/>
      <c r="B38" s="159"/>
      <c r="C38" s="160" t="str">
        <f t="shared" si="0"/>
        <v xml:space="preserve"> </v>
      </c>
      <c r="D38" s="170" t="str">
        <f t="shared" si="1"/>
        <v xml:space="preserve"> </v>
      </c>
      <c r="E38" s="162" t="str">
        <f t="shared" si="2"/>
        <v xml:space="preserve"> </v>
      </c>
      <c r="F38" s="163"/>
      <c r="G38" s="161" t="str">
        <f t="shared" ref="G38:G49" si="4">IF(ISERROR(D38*F38)," ",D38*F38)</f>
        <v xml:space="preserve"> </v>
      </c>
      <c r="H38" s="174"/>
      <c r="LZ38" s="123"/>
      <c r="MA38" s="121"/>
      <c r="MB38" s="121" t="s">
        <v>158</v>
      </c>
      <c r="MC38" s="122"/>
      <c r="MD38" s="123"/>
    </row>
    <row r="39" spans="1:342">
      <c r="A39" s="158"/>
      <c r="B39" s="159"/>
      <c r="C39" s="160" t="str">
        <f t="shared" si="0"/>
        <v xml:space="preserve"> </v>
      </c>
      <c r="D39" s="170" t="str">
        <f t="shared" si="1"/>
        <v xml:space="preserve"> </v>
      </c>
      <c r="E39" s="162" t="str">
        <f t="shared" si="2"/>
        <v xml:space="preserve"> </v>
      </c>
      <c r="F39" s="163"/>
      <c r="G39" s="161" t="str">
        <f t="shared" si="4"/>
        <v xml:space="preserve"> </v>
      </c>
      <c r="H39" s="174"/>
      <c r="LZ39" s="123"/>
      <c r="MA39" s="121"/>
      <c r="MB39" s="121" t="s">
        <v>159</v>
      </c>
      <c r="MC39" s="122"/>
      <c r="MD39" s="123"/>
    </row>
    <row r="40" spans="1:342">
      <c r="A40" s="158"/>
      <c r="B40" s="159"/>
      <c r="C40" s="160" t="str">
        <f t="shared" si="0"/>
        <v xml:space="preserve"> </v>
      </c>
      <c r="D40" s="170" t="str">
        <f t="shared" si="1"/>
        <v xml:space="preserve"> </v>
      </c>
      <c r="E40" s="162" t="str">
        <f t="shared" si="2"/>
        <v xml:space="preserve"> </v>
      </c>
      <c r="F40" s="163"/>
      <c r="G40" s="161" t="str">
        <f t="shared" si="4"/>
        <v xml:space="preserve"> </v>
      </c>
      <c r="H40" s="174"/>
      <c r="LZ40" s="120">
        <v>1005</v>
      </c>
      <c r="MA40" s="121" t="s">
        <v>147</v>
      </c>
      <c r="MB40" s="121" t="s">
        <v>160</v>
      </c>
      <c r="MC40" s="122" t="s">
        <v>142</v>
      </c>
      <c r="MD40" s="123"/>
    </row>
    <row r="41" spans="1:342">
      <c r="A41" s="158"/>
      <c r="B41" s="159"/>
      <c r="C41" s="160" t="str">
        <f t="shared" si="0"/>
        <v xml:space="preserve"> </v>
      </c>
      <c r="D41" s="170" t="str">
        <f t="shared" si="1"/>
        <v xml:space="preserve"> </v>
      </c>
      <c r="E41" s="162" t="str">
        <f t="shared" si="2"/>
        <v xml:space="preserve"> </v>
      </c>
      <c r="F41" s="163"/>
      <c r="G41" s="161" t="str">
        <f t="shared" si="4"/>
        <v xml:space="preserve"> </v>
      </c>
      <c r="H41" s="174"/>
      <c r="LZ41" s="123"/>
      <c r="MA41" s="121"/>
      <c r="MB41" s="121" t="s">
        <v>161</v>
      </c>
      <c r="MC41" s="122"/>
      <c r="MD41" s="123"/>
    </row>
    <row r="42" spans="1:342">
      <c r="A42" s="158"/>
      <c r="B42" s="159"/>
      <c r="C42" s="160" t="str">
        <f t="shared" si="0"/>
        <v xml:space="preserve"> </v>
      </c>
      <c r="D42" s="170" t="str">
        <f t="shared" si="1"/>
        <v xml:space="preserve"> </v>
      </c>
      <c r="E42" s="162" t="str">
        <f t="shared" si="2"/>
        <v xml:space="preserve"> </v>
      </c>
      <c r="F42" s="163"/>
      <c r="G42" s="161" t="str">
        <f t="shared" si="4"/>
        <v xml:space="preserve"> </v>
      </c>
      <c r="H42" s="174"/>
      <c r="LZ42" s="120">
        <v>1010</v>
      </c>
      <c r="MA42" s="121" t="s">
        <v>162</v>
      </c>
      <c r="MB42" s="121" t="s">
        <v>163</v>
      </c>
      <c r="MC42" s="122" t="s">
        <v>164</v>
      </c>
      <c r="MD42" s="123"/>
    </row>
    <row r="43" spans="1:342">
      <c r="A43" s="158"/>
      <c r="B43" s="159"/>
      <c r="C43" s="160" t="str">
        <f t="shared" si="0"/>
        <v xml:space="preserve"> </v>
      </c>
      <c r="D43" s="170" t="str">
        <f t="shared" si="1"/>
        <v xml:space="preserve"> </v>
      </c>
      <c r="E43" s="162" t="str">
        <f t="shared" si="2"/>
        <v xml:space="preserve"> </v>
      </c>
      <c r="F43" s="163"/>
      <c r="G43" s="161" t="str">
        <f t="shared" si="4"/>
        <v xml:space="preserve"> </v>
      </c>
      <c r="H43" s="174"/>
      <c r="LZ43" s="123"/>
      <c r="MA43" s="121"/>
      <c r="MB43" s="121" t="s">
        <v>165</v>
      </c>
      <c r="MC43" s="122"/>
      <c r="MD43" s="123"/>
    </row>
    <row r="44" spans="1:342">
      <c r="A44" s="158"/>
      <c r="B44" s="159"/>
      <c r="C44" s="160" t="str">
        <f t="shared" si="0"/>
        <v xml:space="preserve"> </v>
      </c>
      <c r="D44" s="170" t="str">
        <f t="shared" si="1"/>
        <v xml:space="preserve"> </v>
      </c>
      <c r="E44" s="162" t="str">
        <f t="shared" si="2"/>
        <v xml:space="preserve"> </v>
      </c>
      <c r="F44" s="163"/>
      <c r="G44" s="161" t="str">
        <f t="shared" si="4"/>
        <v xml:space="preserve"> </v>
      </c>
      <c r="H44" s="174"/>
      <c r="LZ44" s="120">
        <v>1011</v>
      </c>
      <c r="MA44" s="121" t="s">
        <v>162</v>
      </c>
      <c r="MB44" s="121" t="s">
        <v>150</v>
      </c>
      <c r="MC44" s="122" t="s">
        <v>166</v>
      </c>
      <c r="MD44" s="123"/>
    </row>
    <row r="45" spans="1:342">
      <c r="A45" s="158"/>
      <c r="B45" s="159"/>
      <c r="C45" s="160" t="str">
        <f t="shared" si="0"/>
        <v xml:space="preserve"> </v>
      </c>
      <c r="D45" s="170" t="str">
        <f t="shared" si="1"/>
        <v xml:space="preserve"> </v>
      </c>
      <c r="E45" s="162" t="str">
        <f t="shared" si="2"/>
        <v xml:space="preserve"> </v>
      </c>
      <c r="F45" s="163"/>
      <c r="G45" s="161" t="str">
        <f t="shared" si="4"/>
        <v xml:space="preserve"> </v>
      </c>
      <c r="H45" s="174"/>
      <c r="LZ45" s="123"/>
      <c r="MA45" s="121"/>
      <c r="MB45" s="121" t="s">
        <v>167</v>
      </c>
      <c r="MC45" s="122"/>
      <c r="MD45" s="123"/>
    </row>
    <row r="46" spans="1:342">
      <c r="A46" s="158"/>
      <c r="B46" s="159"/>
      <c r="C46" s="160" t="str">
        <f t="shared" si="0"/>
        <v xml:space="preserve"> </v>
      </c>
      <c r="D46" s="170" t="str">
        <f t="shared" si="1"/>
        <v xml:space="preserve"> </v>
      </c>
      <c r="E46" s="162" t="str">
        <f t="shared" si="2"/>
        <v xml:space="preserve"> </v>
      </c>
      <c r="F46" s="163"/>
      <c r="G46" s="161" t="str">
        <f t="shared" si="4"/>
        <v xml:space="preserve"> </v>
      </c>
      <c r="H46" s="174"/>
      <c r="LZ46" s="120">
        <v>1012</v>
      </c>
      <c r="MA46" s="121" t="s">
        <v>162</v>
      </c>
      <c r="MB46" s="121" t="s">
        <v>152</v>
      </c>
      <c r="MC46" s="122" t="s">
        <v>168</v>
      </c>
      <c r="MD46" s="123"/>
    </row>
    <row r="47" spans="1:342">
      <c r="A47" s="158"/>
      <c r="B47" s="159"/>
      <c r="C47" s="160" t="str">
        <f t="shared" si="0"/>
        <v xml:space="preserve"> </v>
      </c>
      <c r="D47" s="170" t="str">
        <f t="shared" si="1"/>
        <v xml:space="preserve"> </v>
      </c>
      <c r="E47" s="162" t="str">
        <f t="shared" si="2"/>
        <v xml:space="preserve"> </v>
      </c>
      <c r="F47" s="163"/>
      <c r="G47" s="161" t="str">
        <f t="shared" si="4"/>
        <v xml:space="preserve"> </v>
      </c>
      <c r="H47" s="174"/>
      <c r="LZ47" s="123"/>
      <c r="MA47" s="121"/>
      <c r="MB47" s="121" t="s">
        <v>153</v>
      </c>
      <c r="MC47" s="122"/>
      <c r="MD47" s="123"/>
    </row>
    <row r="48" spans="1:342">
      <c r="A48" s="158"/>
      <c r="B48" s="159"/>
      <c r="C48" s="160" t="str">
        <f t="shared" si="0"/>
        <v xml:space="preserve"> </v>
      </c>
      <c r="D48" s="170" t="str">
        <f t="shared" si="1"/>
        <v xml:space="preserve"> </v>
      </c>
      <c r="E48" s="162" t="str">
        <f t="shared" si="2"/>
        <v xml:space="preserve"> </v>
      </c>
      <c r="F48" s="163"/>
      <c r="G48" s="161" t="str">
        <f t="shared" si="4"/>
        <v xml:space="preserve"> </v>
      </c>
      <c r="H48" s="174"/>
      <c r="LZ48" s="123"/>
      <c r="MA48" s="121"/>
      <c r="MB48" s="121" t="s">
        <v>169</v>
      </c>
      <c r="MC48" s="122"/>
      <c r="MD48" s="123"/>
    </row>
    <row r="49" spans="1:342">
      <c r="A49" s="158"/>
      <c r="B49" s="159"/>
      <c r="C49" s="160" t="str">
        <f t="shared" si="0"/>
        <v xml:space="preserve"> </v>
      </c>
      <c r="D49" s="170" t="str">
        <f t="shared" si="1"/>
        <v xml:space="preserve"> </v>
      </c>
      <c r="E49" s="162" t="str">
        <f t="shared" si="2"/>
        <v xml:space="preserve"> </v>
      </c>
      <c r="F49" s="163"/>
      <c r="G49" s="161" t="str">
        <f t="shared" si="4"/>
        <v xml:space="preserve"> </v>
      </c>
      <c r="H49" s="174"/>
      <c r="LZ49" s="123"/>
      <c r="MA49" s="121"/>
      <c r="MB49" s="121" t="s">
        <v>170</v>
      </c>
      <c r="MC49" s="122"/>
      <c r="MD49" s="123"/>
    </row>
    <row r="50" spans="1:342">
      <c r="A50" s="158"/>
      <c r="B50" s="159"/>
      <c r="C50" s="160" t="str">
        <f t="shared" ref="C50:C83" si="5">IF(ISBLANK(B50)," ",VLOOKUP(B50,LZ50:MD1262,3,FALSE))</f>
        <v xml:space="preserve"> </v>
      </c>
      <c r="D50" s="170" t="str">
        <f t="shared" ref="D50:D83" si="6">IF(ISBLANK(B50)," ",VLOOKUP(B50,LZ50:MD1262,4,FALSE))</f>
        <v xml:space="preserve"> </v>
      </c>
      <c r="E50" s="162" t="str">
        <f t="shared" ref="E50:E83" si="7">IF(ISBLANK(B50)," ",VLOOKUP(B50,LZ50:MD1262,2,FALSE))</f>
        <v xml:space="preserve"> </v>
      </c>
      <c r="F50" s="163"/>
      <c r="G50" s="161" t="str">
        <f t="shared" si="3"/>
        <v xml:space="preserve"> </v>
      </c>
      <c r="H50" s="174"/>
      <c r="LZ50" s="120">
        <v>1015</v>
      </c>
      <c r="MA50" s="121" t="s">
        <v>162</v>
      </c>
      <c r="MB50" s="121" t="s">
        <v>171</v>
      </c>
      <c r="MC50" s="122" t="s">
        <v>172</v>
      </c>
      <c r="MD50" s="123"/>
    </row>
    <row r="51" spans="1:342">
      <c r="A51" s="158"/>
      <c r="B51" s="159"/>
      <c r="C51" s="160" t="str">
        <f t="shared" si="5"/>
        <v xml:space="preserve"> </v>
      </c>
      <c r="D51" s="170" t="str">
        <f t="shared" si="6"/>
        <v xml:space="preserve"> </v>
      </c>
      <c r="E51" s="162" t="str">
        <f t="shared" si="7"/>
        <v xml:space="preserve"> </v>
      </c>
      <c r="F51" s="163"/>
      <c r="G51" s="161" t="str">
        <f t="shared" si="3"/>
        <v xml:space="preserve"> </v>
      </c>
      <c r="H51" s="174"/>
      <c r="LZ51" s="123"/>
      <c r="MA51" s="121"/>
      <c r="MB51" s="121" t="s">
        <v>173</v>
      </c>
      <c r="MC51" s="122"/>
      <c r="MD51" s="123"/>
    </row>
    <row r="52" spans="1:342">
      <c r="A52" s="158"/>
      <c r="B52" s="159"/>
      <c r="C52" s="160" t="str">
        <f t="shared" si="5"/>
        <v xml:space="preserve"> </v>
      </c>
      <c r="D52" s="170" t="str">
        <f t="shared" si="6"/>
        <v xml:space="preserve"> </v>
      </c>
      <c r="E52" s="162" t="str">
        <f t="shared" si="7"/>
        <v xml:space="preserve"> </v>
      </c>
      <c r="F52" s="163"/>
      <c r="G52" s="161" t="str">
        <f t="shared" si="3"/>
        <v xml:space="preserve"> </v>
      </c>
      <c r="H52" s="174"/>
      <c r="LZ52" s="120">
        <v>1016</v>
      </c>
      <c r="MA52" s="121" t="s">
        <v>174</v>
      </c>
      <c r="MB52" s="121" t="s">
        <v>175</v>
      </c>
      <c r="MC52" s="122" t="s">
        <v>176</v>
      </c>
      <c r="MD52" s="123"/>
    </row>
    <row r="53" spans="1:342">
      <c r="A53" s="158"/>
      <c r="B53" s="159"/>
      <c r="C53" s="160" t="str">
        <f t="shared" si="5"/>
        <v xml:space="preserve"> </v>
      </c>
      <c r="D53" s="170" t="str">
        <f t="shared" si="6"/>
        <v xml:space="preserve"> </v>
      </c>
      <c r="E53" s="162" t="str">
        <f t="shared" si="7"/>
        <v xml:space="preserve"> </v>
      </c>
      <c r="F53" s="163"/>
      <c r="G53" s="161" t="str">
        <f t="shared" si="3"/>
        <v xml:space="preserve"> </v>
      </c>
      <c r="H53" s="174"/>
      <c r="LZ53" s="123"/>
      <c r="MA53" s="121"/>
      <c r="MB53" s="121" t="s">
        <v>177</v>
      </c>
      <c r="MC53" s="122"/>
      <c r="MD53" s="123"/>
    </row>
    <row r="54" spans="1:342">
      <c r="A54" s="158"/>
      <c r="B54" s="159"/>
      <c r="C54" s="160" t="str">
        <f t="shared" si="5"/>
        <v xml:space="preserve"> </v>
      </c>
      <c r="D54" s="170" t="str">
        <f t="shared" si="6"/>
        <v xml:space="preserve"> </v>
      </c>
      <c r="E54" s="162" t="str">
        <f t="shared" si="7"/>
        <v xml:space="preserve"> </v>
      </c>
      <c r="F54" s="163"/>
      <c r="G54" s="161" t="str">
        <f t="shared" si="3"/>
        <v xml:space="preserve"> </v>
      </c>
      <c r="H54" s="174"/>
      <c r="LZ54" s="123"/>
      <c r="MA54" s="121"/>
      <c r="MB54" s="121" t="s">
        <v>178</v>
      </c>
      <c r="MC54" s="122"/>
      <c r="MD54" s="123"/>
    </row>
    <row r="55" spans="1:342">
      <c r="A55" s="158"/>
      <c r="B55" s="159"/>
      <c r="C55" s="160" t="str">
        <f t="shared" si="5"/>
        <v xml:space="preserve"> </v>
      </c>
      <c r="D55" s="170" t="str">
        <f t="shared" si="6"/>
        <v xml:space="preserve"> </v>
      </c>
      <c r="E55" s="162" t="str">
        <f t="shared" si="7"/>
        <v xml:space="preserve"> </v>
      </c>
      <c r="F55" s="163"/>
      <c r="G55" s="161" t="str">
        <f t="shared" si="3"/>
        <v xml:space="preserve"> </v>
      </c>
      <c r="H55" s="174"/>
      <c r="LZ55" s="120">
        <v>1017</v>
      </c>
      <c r="MA55" s="121" t="s">
        <v>162</v>
      </c>
      <c r="MB55" s="121" t="s">
        <v>179</v>
      </c>
      <c r="MC55" s="122" t="s">
        <v>180</v>
      </c>
      <c r="MD55" s="123"/>
    </row>
    <row r="56" spans="1:342">
      <c r="A56" s="158"/>
      <c r="B56" s="159"/>
      <c r="C56" s="160" t="str">
        <f t="shared" si="5"/>
        <v xml:space="preserve"> </v>
      </c>
      <c r="D56" s="170" t="str">
        <f t="shared" si="6"/>
        <v xml:space="preserve"> </v>
      </c>
      <c r="E56" s="162" t="str">
        <f t="shared" si="7"/>
        <v xml:space="preserve"> </v>
      </c>
      <c r="F56" s="163"/>
      <c r="G56" s="161" t="str">
        <f t="shared" si="3"/>
        <v xml:space="preserve"> </v>
      </c>
      <c r="H56" s="174"/>
      <c r="LZ56" s="123"/>
      <c r="MA56" s="121"/>
      <c r="MB56" s="121" t="s">
        <v>181</v>
      </c>
      <c r="MC56" s="122"/>
      <c r="MD56" s="123"/>
    </row>
    <row r="57" spans="1:342">
      <c r="A57" s="158"/>
      <c r="B57" s="159"/>
      <c r="C57" s="160" t="str">
        <f t="shared" si="5"/>
        <v xml:space="preserve"> </v>
      </c>
      <c r="D57" s="170" t="str">
        <f t="shared" si="6"/>
        <v xml:space="preserve"> </v>
      </c>
      <c r="E57" s="162" t="str">
        <f t="shared" si="7"/>
        <v xml:space="preserve"> </v>
      </c>
      <c r="F57" s="163"/>
      <c r="G57" s="161" t="str">
        <f t="shared" si="3"/>
        <v xml:space="preserve"> </v>
      </c>
      <c r="H57" s="174"/>
      <c r="LZ57" s="120">
        <v>1020</v>
      </c>
      <c r="MA57" s="121" t="s">
        <v>162</v>
      </c>
      <c r="MB57" s="121" t="s">
        <v>182</v>
      </c>
      <c r="MC57" s="122" t="s">
        <v>183</v>
      </c>
      <c r="MD57" s="123"/>
    </row>
    <row r="58" spans="1:342">
      <c r="A58" s="158"/>
      <c r="B58" s="159"/>
      <c r="C58" s="160" t="str">
        <f t="shared" si="5"/>
        <v xml:space="preserve"> </v>
      </c>
      <c r="D58" s="170" t="str">
        <f t="shared" si="6"/>
        <v xml:space="preserve"> </v>
      </c>
      <c r="E58" s="162" t="str">
        <f t="shared" si="7"/>
        <v xml:space="preserve"> </v>
      </c>
      <c r="F58" s="163"/>
      <c r="G58" s="161" t="str">
        <f t="shared" si="3"/>
        <v xml:space="preserve"> </v>
      </c>
      <c r="H58" s="174"/>
      <c r="LZ58" s="123"/>
      <c r="MA58" s="121"/>
      <c r="MB58" s="121" t="s">
        <v>184</v>
      </c>
      <c r="MC58" s="122"/>
      <c r="MD58" s="123"/>
    </row>
    <row r="59" spans="1:342">
      <c r="A59" s="158"/>
      <c r="B59" s="159"/>
      <c r="C59" s="160" t="str">
        <f t="shared" si="5"/>
        <v xml:space="preserve"> </v>
      </c>
      <c r="D59" s="170" t="str">
        <f t="shared" si="6"/>
        <v xml:space="preserve"> </v>
      </c>
      <c r="E59" s="162" t="str">
        <f t="shared" si="7"/>
        <v xml:space="preserve"> </v>
      </c>
      <c r="F59" s="163"/>
      <c r="G59" s="161" t="str">
        <f t="shared" si="3"/>
        <v xml:space="preserve"> </v>
      </c>
      <c r="H59" s="174"/>
      <c r="LZ59" s="123"/>
      <c r="MA59" s="121"/>
      <c r="MB59" s="121" t="s">
        <v>185</v>
      </c>
      <c r="MC59" s="122"/>
      <c r="MD59" s="123"/>
    </row>
    <row r="60" spans="1:342">
      <c r="A60" s="158"/>
      <c r="B60" s="159"/>
      <c r="C60" s="160" t="str">
        <f t="shared" si="5"/>
        <v xml:space="preserve"> </v>
      </c>
      <c r="D60" s="170" t="str">
        <f t="shared" si="6"/>
        <v xml:space="preserve"> </v>
      </c>
      <c r="E60" s="162" t="str">
        <f t="shared" si="7"/>
        <v xml:space="preserve"> </v>
      </c>
      <c r="F60" s="163"/>
      <c r="G60" s="161" t="str">
        <f t="shared" si="3"/>
        <v xml:space="preserve"> </v>
      </c>
      <c r="H60" s="174"/>
      <c r="LZ60" s="123"/>
      <c r="MA60" s="121"/>
      <c r="MB60" s="121" t="s">
        <v>186</v>
      </c>
      <c r="MC60" s="122"/>
      <c r="MD60" s="123"/>
    </row>
    <row r="61" spans="1:342">
      <c r="A61" s="158"/>
      <c r="B61" s="159"/>
      <c r="C61" s="160" t="str">
        <f t="shared" si="5"/>
        <v xml:space="preserve"> </v>
      </c>
      <c r="D61" s="170" t="str">
        <f t="shared" si="6"/>
        <v xml:space="preserve"> </v>
      </c>
      <c r="E61" s="162" t="str">
        <f t="shared" si="7"/>
        <v xml:space="preserve"> </v>
      </c>
      <c r="F61" s="163"/>
      <c r="G61" s="161" t="str">
        <f t="shared" si="3"/>
        <v xml:space="preserve"> </v>
      </c>
      <c r="H61" s="174"/>
      <c r="LZ61" s="123"/>
      <c r="MA61" s="121"/>
      <c r="MB61" s="121"/>
      <c r="MC61" s="122"/>
      <c r="MD61" s="123"/>
    </row>
    <row r="62" spans="1:342">
      <c r="A62" s="158"/>
      <c r="B62" s="159"/>
      <c r="C62" s="160" t="str">
        <f t="shared" si="5"/>
        <v xml:space="preserve"> </v>
      </c>
      <c r="D62" s="170" t="str">
        <f t="shared" si="6"/>
        <v xml:space="preserve"> </v>
      </c>
      <c r="E62" s="162" t="str">
        <f t="shared" si="7"/>
        <v xml:space="preserve"> </v>
      </c>
      <c r="F62" s="163"/>
      <c r="G62" s="161" t="str">
        <f t="shared" si="3"/>
        <v xml:space="preserve"> </v>
      </c>
      <c r="H62" s="174"/>
      <c r="LZ62" s="123"/>
      <c r="MA62" s="121"/>
      <c r="MB62" s="121"/>
      <c r="MC62" s="122"/>
      <c r="MD62" s="123"/>
    </row>
    <row r="63" spans="1:342">
      <c r="A63" s="158"/>
      <c r="B63" s="159"/>
      <c r="C63" s="160" t="str">
        <f t="shared" si="5"/>
        <v xml:space="preserve"> </v>
      </c>
      <c r="D63" s="170" t="str">
        <f t="shared" si="6"/>
        <v xml:space="preserve"> </v>
      </c>
      <c r="E63" s="162" t="str">
        <f t="shared" si="7"/>
        <v xml:space="preserve"> </v>
      </c>
      <c r="F63" s="163"/>
      <c r="G63" s="161" t="str">
        <f t="shared" si="3"/>
        <v xml:space="preserve"> </v>
      </c>
      <c r="H63" s="174"/>
      <c r="LZ63" s="123"/>
      <c r="MA63" s="121"/>
      <c r="MB63" s="121"/>
      <c r="MC63" s="122"/>
      <c r="MD63" s="123"/>
    </row>
    <row r="64" spans="1:342">
      <c r="A64" s="158"/>
      <c r="B64" s="159"/>
      <c r="C64" s="160" t="str">
        <f t="shared" si="5"/>
        <v xml:space="preserve"> </v>
      </c>
      <c r="D64" s="170" t="str">
        <f t="shared" si="6"/>
        <v xml:space="preserve"> </v>
      </c>
      <c r="E64" s="162" t="str">
        <f t="shared" si="7"/>
        <v xml:space="preserve"> </v>
      </c>
      <c r="F64" s="163"/>
      <c r="G64" s="161" t="str">
        <f t="shared" si="3"/>
        <v xml:space="preserve"> </v>
      </c>
      <c r="H64" s="174"/>
      <c r="LZ64" s="120">
        <v>1021</v>
      </c>
      <c r="MA64" s="121" t="s">
        <v>162</v>
      </c>
      <c r="MB64" s="121" t="s">
        <v>187</v>
      </c>
      <c r="MC64" s="122" t="s">
        <v>188</v>
      </c>
      <c r="MD64" s="123"/>
    </row>
    <row r="65" spans="1:342">
      <c r="A65" s="158"/>
      <c r="B65" s="159"/>
      <c r="C65" s="160" t="str">
        <f t="shared" si="5"/>
        <v xml:space="preserve"> </v>
      </c>
      <c r="D65" s="170" t="str">
        <f t="shared" si="6"/>
        <v xml:space="preserve"> </v>
      </c>
      <c r="E65" s="162" t="str">
        <f t="shared" si="7"/>
        <v xml:space="preserve"> </v>
      </c>
      <c r="F65" s="163"/>
      <c r="G65" s="161" t="str">
        <f t="shared" si="3"/>
        <v xml:space="preserve"> </v>
      </c>
      <c r="H65" s="174"/>
      <c r="LZ65" s="123"/>
      <c r="MA65" s="121"/>
      <c r="MB65" s="121" t="s">
        <v>189</v>
      </c>
      <c r="MC65" s="122"/>
      <c r="MD65" s="123"/>
    </row>
    <row r="66" spans="1:342">
      <c r="A66" s="158"/>
      <c r="B66" s="159"/>
      <c r="C66" s="160" t="str">
        <f t="shared" si="5"/>
        <v xml:space="preserve"> </v>
      </c>
      <c r="D66" s="170" t="str">
        <f t="shared" si="6"/>
        <v xml:space="preserve"> </v>
      </c>
      <c r="E66" s="162" t="str">
        <f t="shared" si="7"/>
        <v xml:space="preserve"> </v>
      </c>
      <c r="F66" s="163"/>
      <c r="G66" s="161" t="str">
        <f t="shared" si="3"/>
        <v xml:space="preserve"> </v>
      </c>
      <c r="H66" s="174"/>
      <c r="LZ66" s="123"/>
      <c r="MA66" s="121"/>
      <c r="MB66" s="121" t="s">
        <v>190</v>
      </c>
      <c r="MC66" s="122"/>
      <c r="MD66" s="123"/>
    </row>
    <row r="67" spans="1:342">
      <c r="A67" s="158"/>
      <c r="B67" s="159"/>
      <c r="C67" s="160" t="str">
        <f t="shared" si="5"/>
        <v xml:space="preserve"> </v>
      </c>
      <c r="D67" s="170" t="str">
        <f t="shared" si="6"/>
        <v xml:space="preserve"> </v>
      </c>
      <c r="E67" s="162" t="str">
        <f t="shared" si="7"/>
        <v xml:space="preserve"> </v>
      </c>
      <c r="F67" s="163"/>
      <c r="G67" s="161" t="str">
        <f t="shared" ref="G67:G83" si="8">IF(ISERROR(D67*F67)," ",D67*F67)</f>
        <v xml:space="preserve"> </v>
      </c>
      <c r="H67" s="174"/>
      <c r="LZ67" s="120">
        <v>1015</v>
      </c>
      <c r="MA67" s="121" t="s">
        <v>162</v>
      </c>
      <c r="MB67" s="121" t="s">
        <v>171</v>
      </c>
      <c r="MC67" s="122" t="s">
        <v>172</v>
      </c>
      <c r="MD67" s="123"/>
    </row>
    <row r="68" spans="1:342">
      <c r="A68" s="158"/>
      <c r="B68" s="159"/>
      <c r="C68" s="160" t="str">
        <f t="shared" si="5"/>
        <v xml:space="preserve"> </v>
      </c>
      <c r="D68" s="170" t="str">
        <f t="shared" si="6"/>
        <v xml:space="preserve"> </v>
      </c>
      <c r="E68" s="162" t="str">
        <f t="shared" si="7"/>
        <v xml:space="preserve"> </v>
      </c>
      <c r="F68" s="163"/>
      <c r="G68" s="161" t="str">
        <f t="shared" si="8"/>
        <v xml:space="preserve"> </v>
      </c>
      <c r="H68" s="174"/>
      <c r="LZ68" s="123"/>
      <c r="MA68" s="121"/>
      <c r="MB68" s="121" t="s">
        <v>173</v>
      </c>
      <c r="MC68" s="122"/>
      <c r="MD68" s="123"/>
    </row>
    <row r="69" spans="1:342">
      <c r="A69" s="158"/>
      <c r="B69" s="159"/>
      <c r="C69" s="160" t="str">
        <f t="shared" si="5"/>
        <v xml:space="preserve"> </v>
      </c>
      <c r="D69" s="170" t="str">
        <f t="shared" si="6"/>
        <v xml:space="preserve"> </v>
      </c>
      <c r="E69" s="162" t="str">
        <f t="shared" si="7"/>
        <v xml:space="preserve"> </v>
      </c>
      <c r="F69" s="163"/>
      <c r="G69" s="161" t="str">
        <f t="shared" si="8"/>
        <v xml:space="preserve"> </v>
      </c>
      <c r="H69" s="174"/>
      <c r="LZ69" s="120">
        <v>1016</v>
      </c>
      <c r="MA69" s="121" t="s">
        <v>174</v>
      </c>
      <c r="MB69" s="121" t="s">
        <v>175</v>
      </c>
      <c r="MC69" s="122" t="s">
        <v>176</v>
      </c>
      <c r="MD69" s="123"/>
    </row>
    <row r="70" spans="1:342">
      <c r="A70" s="158"/>
      <c r="B70" s="159"/>
      <c r="C70" s="160" t="str">
        <f t="shared" si="5"/>
        <v xml:space="preserve"> </v>
      </c>
      <c r="D70" s="170" t="str">
        <f t="shared" si="6"/>
        <v xml:space="preserve"> </v>
      </c>
      <c r="E70" s="162" t="str">
        <f t="shared" si="7"/>
        <v xml:space="preserve"> </v>
      </c>
      <c r="F70" s="163"/>
      <c r="G70" s="161" t="str">
        <f t="shared" si="8"/>
        <v xml:space="preserve"> </v>
      </c>
      <c r="H70" s="174"/>
      <c r="LZ70" s="123"/>
      <c r="MA70" s="121"/>
      <c r="MB70" s="121" t="s">
        <v>177</v>
      </c>
      <c r="MC70" s="122"/>
      <c r="MD70" s="123"/>
    </row>
    <row r="71" spans="1:342">
      <c r="A71" s="158"/>
      <c r="B71" s="159"/>
      <c r="C71" s="160" t="str">
        <f t="shared" si="5"/>
        <v xml:space="preserve"> </v>
      </c>
      <c r="D71" s="170" t="str">
        <f t="shared" si="6"/>
        <v xml:space="preserve"> </v>
      </c>
      <c r="E71" s="162" t="str">
        <f t="shared" si="7"/>
        <v xml:space="preserve"> </v>
      </c>
      <c r="F71" s="163"/>
      <c r="G71" s="161" t="str">
        <f t="shared" si="8"/>
        <v xml:space="preserve"> </v>
      </c>
      <c r="H71" s="174"/>
      <c r="LZ71" s="123"/>
      <c r="MA71" s="121"/>
      <c r="MB71" s="121" t="s">
        <v>178</v>
      </c>
      <c r="MC71" s="122"/>
      <c r="MD71" s="123"/>
    </row>
    <row r="72" spans="1:342">
      <c r="A72" s="158"/>
      <c r="B72" s="159"/>
      <c r="C72" s="160" t="str">
        <f t="shared" si="5"/>
        <v xml:space="preserve"> </v>
      </c>
      <c r="D72" s="170" t="str">
        <f t="shared" si="6"/>
        <v xml:space="preserve"> </v>
      </c>
      <c r="E72" s="162" t="str">
        <f t="shared" si="7"/>
        <v xml:space="preserve"> </v>
      </c>
      <c r="F72" s="163"/>
      <c r="G72" s="161" t="str">
        <f t="shared" si="8"/>
        <v xml:space="preserve"> </v>
      </c>
      <c r="H72" s="174"/>
      <c r="LZ72" s="120">
        <v>1017</v>
      </c>
      <c r="MA72" s="121" t="s">
        <v>162</v>
      </c>
      <c r="MB72" s="121" t="s">
        <v>179</v>
      </c>
      <c r="MC72" s="122" t="s">
        <v>180</v>
      </c>
      <c r="MD72" s="123"/>
    </row>
    <row r="73" spans="1:342">
      <c r="A73" s="158"/>
      <c r="B73" s="159"/>
      <c r="C73" s="160" t="str">
        <f t="shared" si="5"/>
        <v xml:space="preserve"> </v>
      </c>
      <c r="D73" s="170" t="str">
        <f t="shared" si="6"/>
        <v xml:space="preserve"> </v>
      </c>
      <c r="E73" s="162" t="str">
        <f t="shared" si="7"/>
        <v xml:space="preserve"> </v>
      </c>
      <c r="F73" s="163"/>
      <c r="G73" s="161" t="str">
        <f t="shared" si="8"/>
        <v xml:space="preserve"> </v>
      </c>
      <c r="H73" s="174"/>
      <c r="LZ73" s="123"/>
      <c r="MA73" s="121"/>
      <c r="MB73" s="121" t="s">
        <v>181</v>
      </c>
      <c r="MC73" s="122"/>
      <c r="MD73" s="123"/>
    </row>
    <row r="74" spans="1:342">
      <c r="A74" s="158"/>
      <c r="B74" s="159"/>
      <c r="C74" s="160" t="str">
        <f t="shared" si="5"/>
        <v xml:space="preserve"> </v>
      </c>
      <c r="D74" s="170" t="str">
        <f t="shared" si="6"/>
        <v xml:space="preserve"> </v>
      </c>
      <c r="E74" s="162" t="str">
        <f t="shared" si="7"/>
        <v xml:space="preserve"> </v>
      </c>
      <c r="F74" s="163"/>
      <c r="G74" s="161" t="str">
        <f t="shared" si="8"/>
        <v xml:space="preserve"> </v>
      </c>
      <c r="H74" s="174"/>
      <c r="LZ74" s="120">
        <v>1020</v>
      </c>
      <c r="MA74" s="121" t="s">
        <v>162</v>
      </c>
      <c r="MB74" s="121" t="s">
        <v>182</v>
      </c>
      <c r="MC74" s="122" t="s">
        <v>183</v>
      </c>
      <c r="MD74" s="123"/>
    </row>
    <row r="75" spans="1:342">
      <c r="A75" s="158"/>
      <c r="B75" s="159"/>
      <c r="C75" s="160" t="str">
        <f t="shared" si="5"/>
        <v xml:space="preserve"> </v>
      </c>
      <c r="D75" s="170" t="str">
        <f t="shared" si="6"/>
        <v xml:space="preserve"> </v>
      </c>
      <c r="E75" s="162" t="str">
        <f t="shared" si="7"/>
        <v xml:space="preserve"> </v>
      </c>
      <c r="F75" s="163"/>
      <c r="G75" s="161" t="str">
        <f t="shared" si="8"/>
        <v xml:space="preserve"> </v>
      </c>
      <c r="H75" s="174"/>
      <c r="LZ75" s="123"/>
      <c r="MA75" s="121"/>
      <c r="MB75" s="121" t="s">
        <v>184</v>
      </c>
      <c r="MC75" s="122"/>
      <c r="MD75" s="123"/>
    </row>
    <row r="76" spans="1:342">
      <c r="A76" s="158"/>
      <c r="B76" s="159"/>
      <c r="C76" s="160" t="str">
        <f t="shared" si="5"/>
        <v xml:space="preserve"> </v>
      </c>
      <c r="D76" s="170" t="str">
        <f t="shared" si="6"/>
        <v xml:space="preserve"> </v>
      </c>
      <c r="E76" s="162" t="str">
        <f t="shared" si="7"/>
        <v xml:space="preserve"> </v>
      </c>
      <c r="F76" s="163"/>
      <c r="G76" s="161" t="str">
        <f t="shared" si="8"/>
        <v xml:space="preserve"> </v>
      </c>
      <c r="H76" s="174"/>
      <c r="LZ76" s="123"/>
      <c r="MA76" s="121"/>
      <c r="MB76" s="121" t="s">
        <v>185</v>
      </c>
      <c r="MC76" s="122"/>
      <c r="MD76" s="123"/>
    </row>
    <row r="77" spans="1:342">
      <c r="A77" s="158"/>
      <c r="B77" s="159"/>
      <c r="C77" s="160" t="str">
        <f t="shared" si="5"/>
        <v xml:space="preserve"> </v>
      </c>
      <c r="D77" s="170" t="str">
        <f t="shared" si="6"/>
        <v xml:space="preserve"> </v>
      </c>
      <c r="E77" s="162" t="str">
        <f t="shared" si="7"/>
        <v xml:space="preserve"> </v>
      </c>
      <c r="F77" s="163"/>
      <c r="G77" s="161" t="str">
        <f t="shared" si="8"/>
        <v xml:space="preserve"> </v>
      </c>
      <c r="H77" s="174"/>
      <c r="LZ77" s="123"/>
      <c r="MA77" s="121"/>
      <c r="MB77" s="121" t="s">
        <v>186</v>
      </c>
      <c r="MC77" s="122"/>
      <c r="MD77" s="123"/>
    </row>
    <row r="78" spans="1:342">
      <c r="A78" s="158"/>
      <c r="B78" s="159"/>
      <c r="C78" s="160" t="str">
        <f t="shared" si="5"/>
        <v xml:space="preserve"> </v>
      </c>
      <c r="D78" s="170" t="str">
        <f t="shared" si="6"/>
        <v xml:space="preserve"> </v>
      </c>
      <c r="E78" s="162" t="str">
        <f t="shared" si="7"/>
        <v xml:space="preserve"> </v>
      </c>
      <c r="F78" s="163"/>
      <c r="G78" s="161" t="str">
        <f t="shared" si="8"/>
        <v xml:space="preserve"> </v>
      </c>
      <c r="H78" s="174"/>
      <c r="LZ78" s="123"/>
      <c r="MA78" s="121"/>
      <c r="MB78" s="121"/>
      <c r="MC78" s="122"/>
      <c r="MD78" s="123"/>
    </row>
    <row r="79" spans="1:342">
      <c r="A79" s="158"/>
      <c r="B79" s="159"/>
      <c r="C79" s="160" t="str">
        <f t="shared" si="5"/>
        <v xml:space="preserve"> </v>
      </c>
      <c r="D79" s="170" t="str">
        <f t="shared" si="6"/>
        <v xml:space="preserve"> </v>
      </c>
      <c r="E79" s="162" t="str">
        <f t="shared" si="7"/>
        <v xml:space="preserve"> </v>
      </c>
      <c r="F79" s="163"/>
      <c r="G79" s="161" t="str">
        <f t="shared" si="8"/>
        <v xml:space="preserve"> </v>
      </c>
      <c r="H79" s="174"/>
      <c r="LZ79" s="123"/>
      <c r="MA79" s="121"/>
      <c r="MB79" s="121"/>
      <c r="MC79" s="122"/>
      <c r="MD79" s="123"/>
    </row>
    <row r="80" spans="1:342">
      <c r="A80" s="158"/>
      <c r="B80" s="159"/>
      <c r="C80" s="160" t="str">
        <f t="shared" si="5"/>
        <v xml:space="preserve"> </v>
      </c>
      <c r="D80" s="170" t="str">
        <f t="shared" si="6"/>
        <v xml:space="preserve"> </v>
      </c>
      <c r="E80" s="162" t="str">
        <f t="shared" si="7"/>
        <v xml:space="preserve"> </v>
      </c>
      <c r="F80" s="163"/>
      <c r="G80" s="161" t="str">
        <f t="shared" si="8"/>
        <v xml:space="preserve"> </v>
      </c>
      <c r="H80" s="174"/>
      <c r="LZ80" s="123"/>
      <c r="MA80" s="121"/>
      <c r="MB80" s="121"/>
      <c r="MC80" s="122"/>
      <c r="MD80" s="123"/>
    </row>
    <row r="81" spans="1:342">
      <c r="A81" s="158"/>
      <c r="B81" s="159"/>
      <c r="C81" s="160" t="str">
        <f t="shared" si="5"/>
        <v xml:space="preserve"> </v>
      </c>
      <c r="D81" s="170" t="str">
        <f t="shared" si="6"/>
        <v xml:space="preserve"> </v>
      </c>
      <c r="E81" s="162" t="str">
        <f t="shared" si="7"/>
        <v xml:space="preserve"> </v>
      </c>
      <c r="F81" s="163"/>
      <c r="G81" s="161" t="str">
        <f t="shared" si="8"/>
        <v xml:space="preserve"> </v>
      </c>
      <c r="H81" s="174"/>
      <c r="LZ81" s="120">
        <v>1021</v>
      </c>
      <c r="MA81" s="121" t="s">
        <v>162</v>
      </c>
      <c r="MB81" s="121" t="s">
        <v>187</v>
      </c>
      <c r="MC81" s="122" t="s">
        <v>188</v>
      </c>
      <c r="MD81" s="123"/>
    </row>
    <row r="82" spans="1:342">
      <c r="A82" s="158"/>
      <c r="B82" s="159"/>
      <c r="C82" s="160" t="str">
        <f t="shared" si="5"/>
        <v xml:space="preserve"> </v>
      </c>
      <c r="D82" s="170" t="str">
        <f t="shared" si="6"/>
        <v xml:space="preserve"> </v>
      </c>
      <c r="E82" s="162" t="str">
        <f t="shared" si="7"/>
        <v xml:space="preserve"> </v>
      </c>
      <c r="F82" s="163"/>
      <c r="G82" s="161" t="str">
        <f t="shared" si="8"/>
        <v xml:space="preserve"> </v>
      </c>
      <c r="H82" s="174"/>
      <c r="LZ82" s="123"/>
      <c r="MA82" s="121"/>
      <c r="MB82" s="121" t="s">
        <v>189</v>
      </c>
      <c r="MC82" s="122"/>
      <c r="MD82" s="123"/>
    </row>
    <row r="83" spans="1:342">
      <c r="A83" s="158"/>
      <c r="B83" s="159"/>
      <c r="C83" s="160" t="str">
        <f t="shared" si="5"/>
        <v xml:space="preserve"> </v>
      </c>
      <c r="D83" s="170" t="str">
        <f t="shared" si="6"/>
        <v xml:space="preserve"> </v>
      </c>
      <c r="E83" s="162" t="str">
        <f t="shared" si="7"/>
        <v xml:space="preserve"> </v>
      </c>
      <c r="F83" s="163"/>
      <c r="G83" s="161" t="str">
        <f t="shared" si="8"/>
        <v xml:space="preserve"> </v>
      </c>
      <c r="H83" s="174"/>
      <c r="LZ83" s="123"/>
      <c r="MA83" s="121"/>
      <c r="MB83" s="121" t="s">
        <v>190</v>
      </c>
      <c r="MC83" s="122"/>
      <c r="MD83" s="123"/>
    </row>
    <row r="84" spans="1:342" ht="13.8" thickBot="1">
      <c r="A84" s="164"/>
      <c r="B84" s="177"/>
      <c r="C84" s="166" t="str">
        <f>IF(ISBLANK(B84)," ",VLOOKUP(B84,LZ84:MD1279,3,FALSE))</f>
        <v xml:space="preserve"> </v>
      </c>
      <c r="D84" s="171" t="str">
        <f>IF(ISBLANK(B84)," ",VLOOKUP(B84,LZ84:MD1279,4,FALSE))</f>
        <v xml:space="preserve"> </v>
      </c>
      <c r="E84" s="165" t="str">
        <f>IF(ISBLANK(B84)," ",VLOOKUP(B84,LZ84:MD1279,2,FALSE))</f>
        <v xml:space="preserve"> </v>
      </c>
      <c r="F84" s="176"/>
      <c r="G84" s="167" t="str">
        <f t="shared" si="3"/>
        <v xml:space="preserve"> </v>
      </c>
      <c r="H84" s="175"/>
      <c r="LZ84" s="120">
        <v>1022</v>
      </c>
      <c r="MA84" s="121" t="s">
        <v>162</v>
      </c>
      <c r="MB84" s="121" t="s">
        <v>191</v>
      </c>
      <c r="MC84" s="122" t="s">
        <v>180</v>
      </c>
      <c r="MD84" s="123"/>
    </row>
    <row r="85" spans="1:342" ht="13.8" thickBot="1">
      <c r="C85" s="143" t="str">
        <f>IF(ISBLANK(B85)," ",VLOOKUP(B85,Estimate!LZ88:MC923,3,TRUE))</f>
        <v xml:space="preserve"> </v>
      </c>
      <c r="E85" s="279" t="s">
        <v>194</v>
      </c>
      <c r="F85" s="280"/>
      <c r="G85" s="147">
        <f>SUM(G11:G84)</f>
        <v>0</v>
      </c>
      <c r="LZ85" s="123"/>
      <c r="MA85" s="121"/>
      <c r="MB85" s="121" t="s">
        <v>195</v>
      </c>
      <c r="MC85" s="122"/>
      <c r="MD85" s="123"/>
    </row>
    <row r="86" spans="1:342">
      <c r="C86" s="143" t="str">
        <f>IF(ISBLANK(B86)," ",VLOOKUP(B86,Estimate!LZ89:MC923,3,TRUE))</f>
        <v xml:space="preserve"> </v>
      </c>
      <c r="LZ86" s="120">
        <v>1033</v>
      </c>
      <c r="MA86" s="121" t="s">
        <v>196</v>
      </c>
      <c r="MB86" s="121" t="s">
        <v>197</v>
      </c>
      <c r="MC86" s="122" t="s">
        <v>198</v>
      </c>
      <c r="MD86" s="123"/>
    </row>
    <row r="87" spans="1:342">
      <c r="C87" s="143" t="str">
        <f>IF(ISBLANK(B87)," ",VLOOKUP(B87,Estimate!LZ90:MC923,3,TRUE))</f>
        <v xml:space="preserve"> </v>
      </c>
      <c r="LZ87" s="123"/>
      <c r="MA87" s="121"/>
      <c r="MB87" s="121" t="s">
        <v>199</v>
      </c>
      <c r="MC87" s="122"/>
      <c r="MD87" s="123"/>
    </row>
    <row r="88" spans="1:342" ht="30.6">
      <c r="C88" s="143" t="str">
        <f>IF(ISBLANK(B88)," ",VLOOKUP(B88,Estimate!LZ91:MC923,3,TRUE))</f>
        <v xml:space="preserve"> </v>
      </c>
      <c r="LZ88" s="120">
        <v>1034</v>
      </c>
      <c r="MA88" s="121" t="s">
        <v>196</v>
      </c>
      <c r="MB88" s="125" t="s">
        <v>200</v>
      </c>
      <c r="MC88" s="122" t="s">
        <v>201</v>
      </c>
      <c r="MD88" s="123"/>
    </row>
    <row r="89" spans="1:342" ht="20.399999999999999">
      <c r="C89" s="143" t="str">
        <f>IF(ISBLANK(B89)," ",VLOOKUP(B89,Estimate!LZ92:MC923,3,TRUE))</f>
        <v xml:space="preserve"> </v>
      </c>
      <c r="LZ89" s="120">
        <v>1035</v>
      </c>
      <c r="MA89" s="121" t="s">
        <v>196</v>
      </c>
      <c r="MB89" s="121" t="s">
        <v>202</v>
      </c>
      <c r="MC89" s="122" t="s">
        <v>203</v>
      </c>
      <c r="MD89" s="123"/>
    </row>
    <row r="90" spans="1:342">
      <c r="C90" s="143" t="str">
        <f>IF(ISBLANK(B90)," ",VLOOKUP(B90,Estimate!LZ93:MC923,3,TRUE))</f>
        <v xml:space="preserve"> </v>
      </c>
      <c r="LZ90" s="123"/>
      <c r="MA90" s="121"/>
      <c r="MB90" s="121" t="s">
        <v>204</v>
      </c>
      <c r="MC90" s="122"/>
      <c r="MD90" s="123"/>
    </row>
    <row r="91" spans="1:342">
      <c r="C91" s="143" t="str">
        <f>IF(ISBLANK(B91)," ",VLOOKUP(B91,Estimate!LZ94:MC923,3,TRUE))</f>
        <v xml:space="preserve"> </v>
      </c>
      <c r="LZ91" s="120">
        <v>1036</v>
      </c>
      <c r="MA91" s="121" t="s">
        <v>196</v>
      </c>
      <c r="MB91" s="121" t="s">
        <v>205</v>
      </c>
      <c r="MC91" s="122" t="s">
        <v>206</v>
      </c>
      <c r="MD91" s="123"/>
    </row>
    <row r="92" spans="1:342">
      <c r="C92" s="143" t="str">
        <f>IF(ISBLANK(B92)," ",VLOOKUP(B92,Estimate!LZ95:MC923,3,TRUE))</f>
        <v xml:space="preserve"> </v>
      </c>
      <c r="LZ92" s="123"/>
      <c r="MA92" s="121"/>
      <c r="MB92" s="121" t="s">
        <v>207</v>
      </c>
      <c r="MC92" s="122"/>
      <c r="MD92" s="123"/>
    </row>
    <row r="93" spans="1:342">
      <c r="C93" s="143" t="str">
        <f>IF(ISBLANK(B93)," ",VLOOKUP(B93,Estimate!LZ96:MC923,3,TRUE))</f>
        <v xml:space="preserve"> </v>
      </c>
      <c r="LZ93" s="123"/>
      <c r="MA93" s="121"/>
      <c r="MB93" s="121" t="s">
        <v>208</v>
      </c>
      <c r="MC93" s="122"/>
      <c r="MD93" s="123"/>
    </row>
    <row r="94" spans="1:342">
      <c r="C94" s="143" t="str">
        <f>IF(ISBLANK(B94)," ",VLOOKUP(B94,Estimate!LZ97:MC923,3,TRUE))</f>
        <v xml:space="preserve"> </v>
      </c>
      <c r="LZ94" s="120">
        <v>1037</v>
      </c>
      <c r="MA94" s="121" t="s">
        <v>196</v>
      </c>
      <c r="MB94" s="121" t="s">
        <v>209</v>
      </c>
      <c r="MC94" s="122" t="s">
        <v>210</v>
      </c>
      <c r="MD94" s="123"/>
    </row>
    <row r="95" spans="1:342">
      <c r="C95" s="143" t="str">
        <f>IF(ISBLANK(B95)," ",VLOOKUP(B95,Estimate!LZ98:MC923,3,TRUE))</f>
        <v xml:space="preserve"> </v>
      </c>
      <c r="LZ95" s="123"/>
      <c r="MA95" s="121"/>
      <c r="MB95" s="121" t="s">
        <v>207</v>
      </c>
      <c r="MC95" s="122"/>
      <c r="MD95" s="123"/>
    </row>
    <row r="96" spans="1:342">
      <c r="C96" s="143" t="str">
        <f>IF(ISBLANK(B96)," ",VLOOKUP(B96,Estimate!LZ99:MC923,3,TRUE))</f>
        <v xml:space="preserve"> </v>
      </c>
      <c r="LZ96" s="123"/>
      <c r="MA96" s="121"/>
      <c r="MB96" s="121" t="s">
        <v>204</v>
      </c>
      <c r="MC96" s="122"/>
      <c r="MD96" s="123"/>
    </row>
    <row r="97" spans="3:342">
      <c r="C97" s="143" t="str">
        <f>IF(ISBLANK(B97)," ",VLOOKUP(B97,Estimate!LZ100:MC923,3,TRUE))</f>
        <v xml:space="preserve"> </v>
      </c>
      <c r="LZ97" s="120">
        <v>1038</v>
      </c>
      <c r="MA97" s="121" t="s">
        <v>196</v>
      </c>
      <c r="MB97" s="121" t="s">
        <v>211</v>
      </c>
      <c r="MC97" s="122" t="s">
        <v>212</v>
      </c>
      <c r="MD97" s="123"/>
    </row>
    <row r="98" spans="3:342">
      <c r="C98" s="143" t="str">
        <f>IF(ISBLANK(B98)," ",VLOOKUP(B98,Estimate!LZ101:MC923,3,TRUE))</f>
        <v xml:space="preserve"> </v>
      </c>
      <c r="LZ98" s="123"/>
      <c r="MA98" s="121"/>
      <c r="MB98" s="121" t="s">
        <v>207</v>
      </c>
      <c r="MC98" s="122"/>
      <c r="MD98" s="123"/>
    </row>
    <row r="99" spans="3:342">
      <c r="C99" s="143" t="str">
        <f>IF(ISBLANK(B99)," ",VLOOKUP(B99,Estimate!LZ102:MC923,3,TRUE))</f>
        <v xml:space="preserve"> </v>
      </c>
      <c r="LZ99" s="123"/>
      <c r="MA99" s="121"/>
      <c r="MB99" s="121" t="s">
        <v>208</v>
      </c>
      <c r="MC99" s="122"/>
      <c r="MD99" s="123"/>
    </row>
    <row r="100" spans="3:342">
      <c r="C100" s="143" t="str">
        <f>IF(ISBLANK(B100)," ",VLOOKUP(B100,Estimate!LZ103:MC923,3,TRUE))</f>
        <v xml:space="preserve"> </v>
      </c>
      <c r="LZ100" s="120">
        <v>1039</v>
      </c>
      <c r="MA100" s="121" t="s">
        <v>196</v>
      </c>
      <c r="MB100" s="121" t="s">
        <v>213</v>
      </c>
      <c r="MC100" s="122" t="s">
        <v>214</v>
      </c>
      <c r="MD100" s="123"/>
    </row>
    <row r="101" spans="3:342">
      <c r="C101" s="143" t="str">
        <f>IF(ISBLANK(B101)," ",VLOOKUP(B101,Estimate!LZ104:MC923,3,TRUE))</f>
        <v xml:space="preserve"> </v>
      </c>
      <c r="LZ101" s="123"/>
      <c r="MA101" s="121"/>
      <c r="MB101" s="121" t="s">
        <v>207</v>
      </c>
      <c r="MC101" s="122"/>
      <c r="MD101" s="123"/>
    </row>
    <row r="102" spans="3:342">
      <c r="C102" s="143" t="str">
        <f>IF(ISBLANK(B102)," ",VLOOKUP(B102,Estimate!LZ105:MC923,3,TRUE))</f>
        <v xml:space="preserve"> </v>
      </c>
      <c r="LZ102" s="123"/>
      <c r="MA102" s="121"/>
      <c r="MB102" s="121" t="s">
        <v>204</v>
      </c>
      <c r="MC102" s="122"/>
      <c r="MD102" s="123"/>
    </row>
    <row r="103" spans="3:342">
      <c r="C103" s="143" t="str">
        <f>IF(ISBLANK(B103)," ",VLOOKUP(B103,Estimate!LZ106:MC923,3,TRUE))</f>
        <v xml:space="preserve"> </v>
      </c>
      <c r="LZ103" s="120">
        <v>1040</v>
      </c>
      <c r="MA103" s="121" t="s">
        <v>196</v>
      </c>
      <c r="MB103" s="121" t="s">
        <v>215</v>
      </c>
      <c r="MC103" s="122" t="s">
        <v>216</v>
      </c>
      <c r="MD103" s="123"/>
    </row>
    <row r="104" spans="3:342">
      <c r="C104" s="143" t="str">
        <f>IF(ISBLANK(B104)," ",VLOOKUP(B104,Estimate!LZ107:MC923,3,TRUE))</f>
        <v xml:space="preserve"> </v>
      </c>
      <c r="LZ104" s="123"/>
      <c r="MA104" s="121"/>
      <c r="MB104" s="121" t="s">
        <v>217</v>
      </c>
      <c r="MC104" s="122"/>
      <c r="MD104" s="123"/>
    </row>
    <row r="105" spans="3:342">
      <c r="C105" s="143" t="str">
        <f>IF(ISBLANK(B105)," ",VLOOKUP(B105,Estimate!LZ108:MC923,3,TRUE))</f>
        <v xml:space="preserve"> </v>
      </c>
      <c r="LZ105" s="123"/>
      <c r="MA105" s="121"/>
      <c r="MB105" s="121" t="s">
        <v>218</v>
      </c>
      <c r="MC105" s="122"/>
      <c r="MD105" s="123"/>
    </row>
    <row r="106" spans="3:342">
      <c r="C106" s="143" t="str">
        <f>IF(ISBLANK(B106)," ",VLOOKUP(B106,Estimate!LZ109:MC923,3,TRUE))</f>
        <v xml:space="preserve"> </v>
      </c>
      <c r="LZ106" s="120">
        <v>1041</v>
      </c>
      <c r="MA106" s="121" t="s">
        <v>196</v>
      </c>
      <c r="MB106" s="121" t="s">
        <v>219</v>
      </c>
      <c r="MC106" s="122" t="s">
        <v>220</v>
      </c>
      <c r="MD106" s="123"/>
    </row>
    <row r="107" spans="3:342">
      <c r="C107" s="143" t="str">
        <f>IF(ISBLANK(B107)," ",VLOOKUP(B107,Estimate!LZ110:MC923,3,TRUE))</f>
        <v xml:space="preserve"> </v>
      </c>
      <c r="LZ107" s="123"/>
      <c r="MA107" s="121"/>
      <c r="MB107" s="121" t="s">
        <v>217</v>
      </c>
      <c r="MC107" s="122"/>
      <c r="MD107" s="123"/>
    </row>
    <row r="108" spans="3:342">
      <c r="C108" s="143" t="str">
        <f>IF(ISBLANK(B108)," ",VLOOKUP(B108,Estimate!LZ111:MC923,3,TRUE))</f>
        <v xml:space="preserve"> </v>
      </c>
      <c r="LZ108" s="123"/>
      <c r="MA108" s="121"/>
      <c r="MB108" s="121" t="s">
        <v>221</v>
      </c>
      <c r="MC108" s="122"/>
      <c r="MD108" s="123"/>
    </row>
    <row r="109" spans="3:342">
      <c r="C109" s="143" t="str">
        <f>IF(ISBLANK(B109)," ",VLOOKUP(B109,Estimate!LZ112:MC923,3,TRUE))</f>
        <v xml:space="preserve"> </v>
      </c>
      <c r="LZ109" s="120">
        <v>1044</v>
      </c>
      <c r="MA109" s="121" t="s">
        <v>196</v>
      </c>
      <c r="MB109" s="121" t="s">
        <v>222</v>
      </c>
      <c r="MC109" s="122" t="s">
        <v>223</v>
      </c>
      <c r="MD109" s="123"/>
    </row>
    <row r="110" spans="3:342">
      <c r="C110" s="143" t="str">
        <f>IF(ISBLANK(B110)," ",VLOOKUP(B110,Estimate!LZ113:MC923,3,TRUE))</f>
        <v xml:space="preserve"> </v>
      </c>
      <c r="LZ110" s="123"/>
      <c r="MA110" s="121"/>
      <c r="MB110" s="121" t="s">
        <v>224</v>
      </c>
      <c r="MC110" s="122"/>
      <c r="MD110" s="123"/>
    </row>
    <row r="111" spans="3:342">
      <c r="C111" s="143" t="str">
        <f>IF(ISBLANK(B111)," ",VLOOKUP(B111,Estimate!LZ114:MC923,3,TRUE))</f>
        <v xml:space="preserve"> </v>
      </c>
      <c r="LZ111" s="120">
        <v>1050</v>
      </c>
      <c r="MA111" s="121" t="s">
        <v>162</v>
      </c>
      <c r="MB111" s="121" t="s">
        <v>225</v>
      </c>
      <c r="MC111" s="122" t="s">
        <v>226</v>
      </c>
      <c r="MD111" s="123"/>
    </row>
    <row r="112" spans="3:342">
      <c r="C112" s="143" t="str">
        <f>IF(ISBLANK(B112)," ",VLOOKUP(B112,Estimate!LZ115:MC923,3,TRUE))</f>
        <v xml:space="preserve"> </v>
      </c>
      <c r="LZ112" s="123"/>
      <c r="MA112" s="121"/>
      <c r="MB112" s="121" t="s">
        <v>227</v>
      </c>
      <c r="MC112" s="122"/>
      <c r="MD112" s="123"/>
    </row>
    <row r="113" spans="3:342">
      <c r="C113" s="143" t="str">
        <f>IF(ISBLANK(B113)," ",VLOOKUP(B113,Estimate!LZ116:MC923,3,TRUE))</f>
        <v xml:space="preserve"> </v>
      </c>
      <c r="LZ113" s="120">
        <v>1051</v>
      </c>
      <c r="MA113" s="121" t="s">
        <v>162</v>
      </c>
      <c r="MB113" s="121" t="s">
        <v>228</v>
      </c>
      <c r="MC113" s="122" t="s">
        <v>229</v>
      </c>
      <c r="MD113" s="123"/>
    </row>
    <row r="114" spans="3:342">
      <c r="C114" s="143" t="str">
        <f>IF(ISBLANK(B114)," ",VLOOKUP(B114,Estimate!LZ117:MC923,3,TRUE))</f>
        <v xml:space="preserve"> </v>
      </c>
      <c r="LZ114" s="123"/>
      <c r="MA114" s="121"/>
      <c r="MB114" s="121" t="s">
        <v>230</v>
      </c>
      <c r="MC114" s="122"/>
      <c r="MD114" s="123"/>
    </row>
    <row r="115" spans="3:342">
      <c r="C115" s="143" t="str">
        <f>IF(ISBLANK(B115)," ",VLOOKUP(B115,Estimate!LZ118:MC923,3,TRUE))</f>
        <v xml:space="preserve"> </v>
      </c>
      <c r="LZ115" s="123"/>
      <c r="MA115" s="121"/>
      <c r="MB115" s="121" t="s">
        <v>231</v>
      </c>
      <c r="MC115" s="122"/>
      <c r="MD115" s="123"/>
    </row>
    <row r="116" spans="3:342">
      <c r="C116" s="143" t="str">
        <f>IF(ISBLANK(B116)," ",VLOOKUP(B116,Estimate!LZ119:MC923,3,TRUE))</f>
        <v xml:space="preserve"> </v>
      </c>
      <c r="LZ116" s="120">
        <v>1052</v>
      </c>
      <c r="MA116" s="121" t="s">
        <v>147</v>
      </c>
      <c r="MB116" s="121" t="s">
        <v>228</v>
      </c>
      <c r="MC116" s="122" t="s">
        <v>166</v>
      </c>
      <c r="MD116" s="123"/>
    </row>
    <row r="117" spans="3:342">
      <c r="C117" s="143" t="str">
        <f>IF(ISBLANK(B117)," ",VLOOKUP(B117,Estimate!LZ120:MC923,3,TRUE))</f>
        <v xml:space="preserve"> </v>
      </c>
      <c r="LZ117" s="123"/>
      <c r="MA117" s="121"/>
      <c r="MB117" s="121" t="s">
        <v>232</v>
      </c>
      <c r="MC117" s="122"/>
      <c r="MD117" s="123"/>
    </row>
    <row r="118" spans="3:342">
      <c r="C118" s="143" t="str">
        <f>IF(ISBLANK(B118)," ",VLOOKUP(B118,Estimate!LZ121:MC923,3,TRUE))</f>
        <v xml:space="preserve"> </v>
      </c>
      <c r="LZ118" s="120">
        <v>1060</v>
      </c>
      <c r="MA118" s="121" t="s">
        <v>196</v>
      </c>
      <c r="MB118" s="121" t="s">
        <v>233</v>
      </c>
      <c r="MC118" s="122" t="s">
        <v>234</v>
      </c>
      <c r="MD118" s="123"/>
    </row>
    <row r="119" spans="3:342">
      <c r="C119" s="143" t="str">
        <f>IF(ISBLANK(B119)," ",VLOOKUP(B119,Estimate!LZ122:MC923,3,TRUE))</f>
        <v xml:space="preserve"> </v>
      </c>
      <c r="LZ119" s="123"/>
      <c r="MA119" s="121"/>
      <c r="MB119" s="121" t="s">
        <v>235</v>
      </c>
      <c r="MC119" s="122"/>
      <c r="MD119" s="123"/>
    </row>
    <row r="120" spans="3:342">
      <c r="C120" s="143" t="str">
        <f>IF(ISBLANK(B120)," ",VLOOKUP(B120,Estimate!LZ123:MC923,3,TRUE))</f>
        <v xml:space="preserve"> </v>
      </c>
      <c r="LZ120" s="120">
        <v>1061</v>
      </c>
      <c r="MA120" s="121" t="s">
        <v>196</v>
      </c>
      <c r="MB120" s="121" t="s">
        <v>236</v>
      </c>
      <c r="MC120" s="122" t="s">
        <v>237</v>
      </c>
      <c r="MD120" s="123"/>
    </row>
    <row r="121" spans="3:342">
      <c r="C121" s="143" t="str">
        <f>IF(ISBLANK(B121)," ",VLOOKUP(B121,Estimate!LZ124:MC923,3,TRUE))</f>
        <v xml:space="preserve"> </v>
      </c>
      <c r="LZ121" s="123"/>
      <c r="MA121" s="121"/>
      <c r="MB121" s="121" t="s">
        <v>238</v>
      </c>
      <c r="MC121" s="122"/>
      <c r="MD121" s="123"/>
    </row>
    <row r="122" spans="3:342">
      <c r="C122" s="143" t="str">
        <f>IF(ISBLANK(B122)," ",VLOOKUP(B122,Estimate!LZ125:MC923,3,TRUE))</f>
        <v xml:space="preserve"> </v>
      </c>
      <c r="LZ122" s="120">
        <v>1062</v>
      </c>
      <c r="MA122" s="121" t="s">
        <v>196</v>
      </c>
      <c r="MB122" s="121" t="s">
        <v>239</v>
      </c>
      <c r="MC122" s="122" t="s">
        <v>240</v>
      </c>
      <c r="MD122" s="123"/>
    </row>
    <row r="123" spans="3:342">
      <c r="C123" s="143" t="str">
        <f>IF(ISBLANK(B123)," ",VLOOKUP(B123,Estimate!LZ126:MC923,3,TRUE))</f>
        <v xml:space="preserve"> </v>
      </c>
      <c r="LZ123" s="123"/>
      <c r="MA123" s="121"/>
      <c r="MB123" s="121" t="s">
        <v>241</v>
      </c>
      <c r="MC123" s="122"/>
      <c r="MD123" s="123"/>
    </row>
    <row r="124" spans="3:342">
      <c r="C124" s="143" t="str">
        <f>IF(ISBLANK(B124)," ",VLOOKUP(B124,Estimate!LZ127:MC923,3,TRUE))</f>
        <v xml:space="preserve"> </v>
      </c>
      <c r="LZ124" s="120">
        <v>1063</v>
      </c>
      <c r="MA124" s="121" t="s">
        <v>196</v>
      </c>
      <c r="MB124" s="121" t="s">
        <v>242</v>
      </c>
      <c r="MC124" s="122" t="s">
        <v>188</v>
      </c>
      <c r="MD124" s="123"/>
    </row>
    <row r="125" spans="3:342">
      <c r="C125" s="143" t="str">
        <f>IF(ISBLANK(B125)," ",VLOOKUP(B125,Estimate!LZ128:MC923,3,TRUE))</f>
        <v xml:space="preserve"> </v>
      </c>
      <c r="LZ125" s="123"/>
      <c r="MA125" s="121"/>
      <c r="MB125" s="121" t="s">
        <v>243</v>
      </c>
      <c r="MC125" s="122"/>
      <c r="MD125" s="123"/>
    </row>
    <row r="126" spans="3:342">
      <c r="C126" s="143" t="str">
        <f>IF(ISBLANK(B126)," ",VLOOKUP(B126,Estimate!LZ129:MC923,3,TRUE))</f>
        <v xml:space="preserve"> </v>
      </c>
      <c r="LZ126" s="120">
        <v>1064</v>
      </c>
      <c r="MA126" s="121" t="s">
        <v>196</v>
      </c>
      <c r="MB126" s="121" t="s">
        <v>244</v>
      </c>
      <c r="MC126" s="122" t="s">
        <v>245</v>
      </c>
      <c r="MD126" s="123"/>
    </row>
    <row r="127" spans="3:342">
      <c r="C127" s="143" t="str">
        <f>IF(ISBLANK(B127)," ",VLOOKUP(B127,Estimate!LZ130:MC923,3,TRUE))</f>
        <v xml:space="preserve"> </v>
      </c>
      <c r="LZ127" s="123"/>
      <c r="MA127" s="121"/>
      <c r="MB127" s="121" t="s">
        <v>246</v>
      </c>
      <c r="MC127" s="122"/>
      <c r="MD127" s="123"/>
    </row>
    <row r="128" spans="3:342">
      <c r="C128" s="143" t="str">
        <f>IF(ISBLANK(B128)," ",VLOOKUP(B128,Estimate!LZ131:MC923,3,TRUE))</f>
        <v xml:space="preserve"> </v>
      </c>
      <c r="LZ128" s="120">
        <v>1065</v>
      </c>
      <c r="MA128" s="121" t="s">
        <v>196</v>
      </c>
      <c r="MB128" s="121" t="s">
        <v>247</v>
      </c>
      <c r="MC128" s="122" t="s">
        <v>201</v>
      </c>
      <c r="MD128" s="123"/>
    </row>
    <row r="129" spans="3:342">
      <c r="C129" s="143" t="str">
        <f>IF(ISBLANK(B129)," ",VLOOKUP(B129,Estimate!LZ132:MC923,3,TRUE))</f>
        <v xml:space="preserve"> </v>
      </c>
      <c r="LZ129" s="123"/>
      <c r="MA129" s="121"/>
      <c r="MB129" s="121" t="s">
        <v>248</v>
      </c>
      <c r="MC129" s="122"/>
      <c r="MD129" s="123"/>
    </row>
    <row r="130" spans="3:342">
      <c r="C130" s="143" t="str">
        <f>IF(ISBLANK(B130)," ",VLOOKUP(B130,Estimate!LZ133:MC923,3,TRUE))</f>
        <v xml:space="preserve"> </v>
      </c>
      <c r="LZ130" s="120">
        <v>1066</v>
      </c>
      <c r="MA130" s="121" t="s">
        <v>196</v>
      </c>
      <c r="MB130" s="121" t="s">
        <v>249</v>
      </c>
      <c r="MC130" s="122" t="s">
        <v>250</v>
      </c>
      <c r="MD130" s="123"/>
    </row>
    <row r="131" spans="3:342">
      <c r="C131" s="143" t="str">
        <f>IF(ISBLANK(B131)," ",VLOOKUP(B131,Estimate!LZ134:MC923,3,TRUE))</f>
        <v xml:space="preserve"> </v>
      </c>
      <c r="LZ131" s="123"/>
      <c r="MA131" s="121"/>
      <c r="MB131" s="121" t="s">
        <v>251</v>
      </c>
      <c r="MC131" s="122"/>
      <c r="MD131" s="123"/>
    </row>
    <row r="132" spans="3:342">
      <c r="C132" s="143" t="str">
        <f>IF(ISBLANK(B132)," ",VLOOKUP(B132,Estimate!LZ135:MC923,3,TRUE))</f>
        <v xml:space="preserve"> </v>
      </c>
      <c r="LZ132" s="120">
        <v>1067</v>
      </c>
      <c r="MA132" s="121" t="s">
        <v>196</v>
      </c>
      <c r="MB132" s="121" t="s">
        <v>252</v>
      </c>
      <c r="MC132" s="122" t="s">
        <v>250</v>
      </c>
      <c r="MD132" s="123"/>
    </row>
    <row r="133" spans="3:342">
      <c r="C133" s="143" t="str">
        <f>IF(ISBLANK(B133)," ",VLOOKUP(B133,Estimate!LZ136:MC923,3,TRUE))</f>
        <v xml:space="preserve"> </v>
      </c>
      <c r="LZ133" s="123"/>
      <c r="MA133" s="121"/>
      <c r="MB133" s="121" t="s">
        <v>253</v>
      </c>
      <c r="MC133" s="122"/>
      <c r="MD133" s="123"/>
    </row>
    <row r="134" spans="3:342">
      <c r="C134" s="143" t="str">
        <f>IF(ISBLANK(B134)," ",VLOOKUP(B134,Estimate!LZ137:MC923,3,TRUE))</f>
        <v xml:space="preserve"> </v>
      </c>
      <c r="LZ134" s="120">
        <v>1070</v>
      </c>
      <c r="MA134" s="121" t="s">
        <v>162</v>
      </c>
      <c r="MB134" s="121" t="s">
        <v>254</v>
      </c>
      <c r="MC134" s="122" t="s">
        <v>255</v>
      </c>
      <c r="MD134" s="123"/>
    </row>
    <row r="135" spans="3:342">
      <c r="C135" s="143" t="str">
        <f>IF(ISBLANK(B135)," ",VLOOKUP(B135,Estimate!LZ138:MC923,3,TRUE))</f>
        <v xml:space="preserve"> </v>
      </c>
      <c r="LZ135" s="123"/>
      <c r="MA135" s="121"/>
      <c r="MB135" s="121" t="s">
        <v>256</v>
      </c>
      <c r="MC135" s="122"/>
      <c r="MD135" s="123"/>
    </row>
    <row r="136" spans="3:342">
      <c r="C136" s="143" t="str">
        <f>IF(ISBLANK(B136)," ",VLOOKUP(B136,Estimate!LZ139:MC923,3,TRUE))</f>
        <v xml:space="preserve"> </v>
      </c>
      <c r="LZ136" s="123"/>
      <c r="MA136" s="121"/>
      <c r="MB136" s="121" t="s">
        <v>257</v>
      </c>
      <c r="MC136" s="122"/>
      <c r="MD136" s="123"/>
    </row>
    <row r="137" spans="3:342">
      <c r="C137" s="143" t="str">
        <f>IF(ISBLANK(B137)," ",VLOOKUP(B137,Estimate!LZ140:MC923,3,TRUE))</f>
        <v xml:space="preserve"> </v>
      </c>
      <c r="LZ137" s="120">
        <v>1071</v>
      </c>
      <c r="MA137" s="121" t="s">
        <v>162</v>
      </c>
      <c r="MB137" s="121" t="s">
        <v>258</v>
      </c>
      <c r="MC137" s="122" t="s">
        <v>259</v>
      </c>
      <c r="MD137" s="123"/>
    </row>
    <row r="138" spans="3:342">
      <c r="C138" s="143" t="str">
        <f>IF(ISBLANK(B138)," ",VLOOKUP(B138,Estimate!LZ141:MC923,3,TRUE))</f>
        <v xml:space="preserve"> </v>
      </c>
      <c r="LZ138" s="123"/>
      <c r="MA138" s="121"/>
      <c r="MB138" s="121" t="s">
        <v>260</v>
      </c>
      <c r="MC138" s="122"/>
      <c r="MD138" s="123"/>
    </row>
    <row r="139" spans="3:342">
      <c r="C139" s="143" t="str">
        <f>IF(ISBLANK(B139)," ",VLOOKUP(B139,Estimate!LZ142:MC923,3,TRUE))</f>
        <v xml:space="preserve"> </v>
      </c>
      <c r="LZ139" s="120">
        <v>1080</v>
      </c>
      <c r="MA139" s="121" t="s">
        <v>174</v>
      </c>
      <c r="MB139" s="121" t="s">
        <v>261</v>
      </c>
      <c r="MC139" s="122" t="s">
        <v>262</v>
      </c>
      <c r="MD139" s="123"/>
    </row>
    <row r="140" spans="3:342">
      <c r="LZ140" s="123"/>
      <c r="MA140" s="121"/>
      <c r="MB140" s="121" t="s">
        <v>263</v>
      </c>
      <c r="MC140" s="122"/>
      <c r="MD140" s="123"/>
    </row>
    <row r="141" spans="3:342">
      <c r="LZ141" s="123"/>
      <c r="MA141" s="121"/>
      <c r="MB141" s="121" t="s">
        <v>264</v>
      </c>
      <c r="MC141" s="122"/>
      <c r="MD141" s="123"/>
    </row>
    <row r="142" spans="3:342">
      <c r="LZ142" s="123"/>
      <c r="MA142" s="121"/>
      <c r="MB142" s="121" t="s">
        <v>265</v>
      </c>
      <c r="MC142" s="122"/>
      <c r="MD142" s="123"/>
    </row>
    <row r="143" spans="3:342" ht="20.399999999999999">
      <c r="LZ143" s="120">
        <v>1090</v>
      </c>
      <c r="MA143" s="121" t="s">
        <v>162</v>
      </c>
      <c r="MB143" s="125" t="s">
        <v>266</v>
      </c>
      <c r="MC143" s="122" t="s">
        <v>267</v>
      </c>
      <c r="MD143" s="123"/>
    </row>
    <row r="144" spans="3:342">
      <c r="LZ144" s="120">
        <v>1100</v>
      </c>
      <c r="MA144" s="121" t="s">
        <v>162</v>
      </c>
      <c r="MB144" s="125" t="s">
        <v>268</v>
      </c>
      <c r="MC144" s="122" t="s">
        <v>166</v>
      </c>
      <c r="MD144" s="123"/>
    </row>
    <row r="145" spans="338:342">
      <c r="LZ145" s="123"/>
      <c r="MA145" s="121"/>
      <c r="MB145" s="121" t="s">
        <v>269</v>
      </c>
      <c r="MC145" s="122"/>
      <c r="MD145" s="123"/>
    </row>
    <row r="146" spans="338:342">
      <c r="LZ146" s="120">
        <v>1110</v>
      </c>
      <c r="MA146" s="121" t="s">
        <v>162</v>
      </c>
      <c r="MB146" s="121" t="s">
        <v>270</v>
      </c>
      <c r="MC146" s="122" t="s">
        <v>271</v>
      </c>
      <c r="MD146" s="123"/>
    </row>
    <row r="147" spans="338:342">
      <c r="LZ147" s="123"/>
      <c r="MA147" s="121"/>
      <c r="MB147" s="121" t="s">
        <v>272</v>
      </c>
      <c r="MC147" s="122"/>
      <c r="MD147" s="123"/>
    </row>
    <row r="148" spans="338:342">
      <c r="LZ148" s="123"/>
      <c r="MA148" s="121"/>
      <c r="MB148" s="121" t="s">
        <v>273</v>
      </c>
      <c r="MC148" s="122"/>
      <c r="MD148" s="123"/>
    </row>
    <row r="149" spans="338:342">
      <c r="LZ149" s="120">
        <v>1111</v>
      </c>
      <c r="MA149" s="121" t="s">
        <v>162</v>
      </c>
      <c r="MB149" s="121" t="s">
        <v>274</v>
      </c>
      <c r="MC149" s="122" t="s">
        <v>234</v>
      </c>
      <c r="MD149" s="123"/>
    </row>
    <row r="150" spans="338:342">
      <c r="LZ150" s="123"/>
      <c r="MA150" s="121"/>
      <c r="MB150" s="121" t="s">
        <v>275</v>
      </c>
      <c r="MC150" s="122"/>
      <c r="MD150" s="123"/>
    </row>
    <row r="151" spans="338:342">
      <c r="LZ151" s="123"/>
      <c r="MA151" s="121"/>
      <c r="MB151" s="121" t="s">
        <v>276</v>
      </c>
      <c r="MC151" s="122"/>
      <c r="MD151" s="123"/>
    </row>
    <row r="152" spans="338:342">
      <c r="LZ152" s="120">
        <v>1112</v>
      </c>
      <c r="MA152" s="121" t="s">
        <v>162</v>
      </c>
      <c r="MB152" s="121" t="s">
        <v>277</v>
      </c>
      <c r="MC152" s="122" t="s">
        <v>142</v>
      </c>
      <c r="MD152" s="123"/>
    </row>
    <row r="153" spans="338:342">
      <c r="LZ153" s="123"/>
      <c r="MA153" s="121"/>
      <c r="MB153" s="121" t="s">
        <v>278</v>
      </c>
      <c r="MC153" s="122"/>
      <c r="MD153" s="123"/>
    </row>
    <row r="154" spans="338:342">
      <c r="LZ154" s="123"/>
      <c r="MA154" s="121"/>
      <c r="MB154" s="121" t="s">
        <v>279</v>
      </c>
      <c r="MC154" s="122"/>
      <c r="MD154" s="123"/>
    </row>
    <row r="155" spans="338:342">
      <c r="LZ155" s="120">
        <v>1113</v>
      </c>
      <c r="MA155" s="121" t="s">
        <v>162</v>
      </c>
      <c r="MB155" s="121" t="s">
        <v>280</v>
      </c>
      <c r="MC155" s="122" t="s">
        <v>142</v>
      </c>
      <c r="MD155" s="123"/>
    </row>
    <row r="156" spans="338:342">
      <c r="LZ156" s="123"/>
      <c r="MA156" s="121"/>
      <c r="MB156" s="121" t="s">
        <v>281</v>
      </c>
      <c r="MC156" s="122"/>
      <c r="MD156" s="123"/>
    </row>
    <row r="157" spans="338:342">
      <c r="LZ157" s="120">
        <v>1120</v>
      </c>
      <c r="MA157" s="121" t="s">
        <v>282</v>
      </c>
      <c r="MB157" s="121" t="s">
        <v>283</v>
      </c>
      <c r="MC157" s="122" t="s">
        <v>284</v>
      </c>
      <c r="MD157" s="123"/>
    </row>
    <row r="158" spans="338:342">
      <c r="LZ158" s="123"/>
      <c r="MA158" s="121"/>
      <c r="MB158" s="121" t="s">
        <v>285</v>
      </c>
      <c r="MC158" s="122"/>
      <c r="MD158" s="123"/>
    </row>
    <row r="159" spans="338:342">
      <c r="LZ159" s="123"/>
      <c r="MA159" s="121"/>
      <c r="MB159" s="121" t="s">
        <v>286</v>
      </c>
      <c r="MC159" s="122"/>
      <c r="MD159" s="123"/>
    </row>
    <row r="160" spans="338:342">
      <c r="LZ160" s="120">
        <v>1121</v>
      </c>
      <c r="MA160" s="121" t="s">
        <v>282</v>
      </c>
      <c r="MB160" s="121" t="s">
        <v>287</v>
      </c>
      <c r="MC160" s="122" t="s">
        <v>288</v>
      </c>
      <c r="MD160" s="123"/>
    </row>
    <row r="161" spans="338:342">
      <c r="LZ161" s="123"/>
      <c r="MA161" s="121"/>
      <c r="MB161" s="121" t="s">
        <v>289</v>
      </c>
      <c r="MC161" s="122"/>
      <c r="MD161" s="123"/>
    </row>
    <row r="162" spans="338:342">
      <c r="LZ162" s="123"/>
      <c r="MA162" s="121"/>
      <c r="MB162" s="121" t="s">
        <v>290</v>
      </c>
      <c r="MC162" s="122"/>
      <c r="MD162" s="123"/>
    </row>
    <row r="163" spans="338:342">
      <c r="LZ163" s="120">
        <v>2010</v>
      </c>
      <c r="MA163" s="121" t="s">
        <v>291</v>
      </c>
      <c r="MB163" s="121" t="s">
        <v>292</v>
      </c>
      <c r="MC163" s="122" t="s">
        <v>142</v>
      </c>
      <c r="MD163" s="123"/>
    </row>
    <row r="164" spans="338:342">
      <c r="LZ164" s="123"/>
      <c r="MA164" s="121"/>
      <c r="MB164" s="121" t="s">
        <v>293</v>
      </c>
      <c r="MC164" s="122"/>
      <c r="MD164" s="123"/>
    </row>
    <row r="165" spans="338:342">
      <c r="LZ165" s="120">
        <v>2011</v>
      </c>
      <c r="MA165" s="121" t="s">
        <v>291</v>
      </c>
      <c r="MB165" s="121" t="s">
        <v>294</v>
      </c>
      <c r="MC165" s="122" t="s">
        <v>142</v>
      </c>
      <c r="MD165" s="123"/>
    </row>
    <row r="166" spans="338:342">
      <c r="LZ166" s="123"/>
      <c r="MA166" s="121"/>
      <c r="MB166" s="121" t="s">
        <v>295</v>
      </c>
      <c r="MC166" s="122"/>
      <c r="MD166" s="123"/>
    </row>
    <row r="167" spans="338:342">
      <c r="LZ167" s="120">
        <v>2012</v>
      </c>
      <c r="MA167" s="121" t="s">
        <v>291</v>
      </c>
      <c r="MB167" s="121" t="s">
        <v>296</v>
      </c>
      <c r="MC167" s="122" t="s">
        <v>297</v>
      </c>
      <c r="MD167" s="123"/>
    </row>
    <row r="168" spans="338:342">
      <c r="LZ168" s="123"/>
      <c r="MA168" s="121"/>
      <c r="MB168" s="121" t="s">
        <v>298</v>
      </c>
      <c r="MC168" s="122"/>
      <c r="MD168" s="123"/>
    </row>
    <row r="169" spans="338:342">
      <c r="LZ169" s="120">
        <v>2020</v>
      </c>
      <c r="MA169" s="121" t="s">
        <v>299</v>
      </c>
      <c r="MB169" s="121" t="s">
        <v>300</v>
      </c>
      <c r="MC169" s="122" t="s">
        <v>297</v>
      </c>
      <c r="MD169" s="123"/>
    </row>
    <row r="170" spans="338:342">
      <c r="LZ170" s="123"/>
      <c r="MA170" s="121"/>
      <c r="MB170" s="121" t="s">
        <v>301</v>
      </c>
      <c r="MC170" s="122"/>
      <c r="MD170" s="123"/>
    </row>
    <row r="171" spans="338:342">
      <c r="LZ171" s="123"/>
      <c r="MA171" s="121"/>
      <c r="MB171" s="121" t="s">
        <v>302</v>
      </c>
      <c r="MC171" s="122"/>
      <c r="MD171" s="123"/>
    </row>
    <row r="172" spans="338:342">
      <c r="LZ172" s="120">
        <v>2025</v>
      </c>
      <c r="MA172" s="121" t="s">
        <v>299</v>
      </c>
      <c r="MB172" s="121" t="s">
        <v>303</v>
      </c>
      <c r="MC172" s="122" t="s">
        <v>304</v>
      </c>
      <c r="MD172" s="123"/>
    </row>
    <row r="173" spans="338:342">
      <c r="LZ173" s="123"/>
      <c r="MA173" s="121"/>
      <c r="MB173" s="121" t="s">
        <v>305</v>
      </c>
      <c r="MC173" s="122"/>
      <c r="MD173" s="123"/>
    </row>
    <row r="174" spans="338:342">
      <c r="LZ174" s="123"/>
      <c r="MA174" s="121"/>
      <c r="MB174" s="121" t="s">
        <v>306</v>
      </c>
      <c r="MC174" s="122"/>
      <c r="MD174" s="123"/>
    </row>
    <row r="175" spans="338:342">
      <c r="LZ175" s="120">
        <v>2030</v>
      </c>
      <c r="MA175" s="121" t="s">
        <v>196</v>
      </c>
      <c r="MB175" s="121" t="s">
        <v>307</v>
      </c>
      <c r="MC175" s="122" t="s">
        <v>308</v>
      </c>
      <c r="MD175" s="123"/>
    </row>
    <row r="176" spans="338:342">
      <c r="LZ176" s="123"/>
      <c r="MA176" s="121"/>
      <c r="MB176" s="121" t="s">
        <v>309</v>
      </c>
      <c r="MC176" s="122"/>
      <c r="MD176" s="123"/>
    </row>
    <row r="177" spans="338:342">
      <c r="LZ177" s="123"/>
      <c r="MA177" s="121"/>
      <c r="MB177" s="121" t="s">
        <v>310</v>
      </c>
      <c r="MC177" s="122"/>
      <c r="MD177" s="123"/>
    </row>
    <row r="178" spans="338:342">
      <c r="LZ178" s="120">
        <v>2040</v>
      </c>
      <c r="MA178" s="121" t="s">
        <v>147</v>
      </c>
      <c r="MB178" s="121" t="s">
        <v>311</v>
      </c>
      <c r="MC178" s="122" t="s">
        <v>312</v>
      </c>
      <c r="MD178" s="123"/>
    </row>
    <row r="179" spans="338:342">
      <c r="LZ179" s="123"/>
      <c r="MA179" s="121"/>
      <c r="MB179" s="121" t="s">
        <v>313</v>
      </c>
      <c r="MC179" s="122"/>
      <c r="MD179" s="123"/>
    </row>
    <row r="180" spans="338:342">
      <c r="LZ180" s="120">
        <v>2045</v>
      </c>
      <c r="MA180" s="121" t="s">
        <v>162</v>
      </c>
      <c r="MB180" s="121" t="s">
        <v>314</v>
      </c>
      <c r="MC180" s="122" t="s">
        <v>188</v>
      </c>
      <c r="MD180" s="123"/>
    </row>
    <row r="181" spans="338:342">
      <c r="LZ181" s="123"/>
      <c r="MA181" s="121"/>
      <c r="MB181" s="121" t="s">
        <v>315</v>
      </c>
      <c r="MC181" s="122"/>
      <c r="MD181" s="123"/>
    </row>
    <row r="182" spans="338:342">
      <c r="LZ182" s="123"/>
      <c r="MA182" s="121"/>
      <c r="MB182" s="121" t="s">
        <v>316</v>
      </c>
      <c r="MC182" s="122"/>
      <c r="MD182" s="123"/>
    </row>
    <row r="183" spans="338:342">
      <c r="LZ183" s="120">
        <v>2050</v>
      </c>
      <c r="MA183" s="121" t="s">
        <v>162</v>
      </c>
      <c r="MB183" s="121" t="s">
        <v>317</v>
      </c>
      <c r="MC183" s="122" t="s">
        <v>166</v>
      </c>
      <c r="MD183" s="123"/>
    </row>
    <row r="184" spans="338:342">
      <c r="LZ184" s="123"/>
      <c r="MA184" s="121"/>
      <c r="MB184" s="121" t="s">
        <v>318</v>
      </c>
      <c r="MC184" s="122"/>
      <c r="MD184" s="123"/>
    </row>
    <row r="185" spans="338:342" ht="20.399999999999999">
      <c r="LZ185" s="123"/>
      <c r="MA185" s="121"/>
      <c r="MB185" s="121" t="s">
        <v>319</v>
      </c>
      <c r="MC185" s="122"/>
      <c r="MD185" s="123"/>
    </row>
    <row r="186" spans="338:342">
      <c r="LZ186" s="120">
        <v>2060</v>
      </c>
      <c r="MA186" s="121" t="s">
        <v>162</v>
      </c>
      <c r="MB186" s="121" t="s">
        <v>320</v>
      </c>
      <c r="MC186" s="122" t="s">
        <v>172</v>
      </c>
      <c r="MD186" s="123"/>
    </row>
    <row r="187" spans="338:342">
      <c r="LZ187" s="123"/>
      <c r="MA187" s="121"/>
      <c r="MB187" s="121" t="s">
        <v>321</v>
      </c>
      <c r="MC187" s="122"/>
      <c r="MD187" s="123"/>
    </row>
    <row r="188" spans="338:342">
      <c r="LZ188" s="120">
        <v>2070</v>
      </c>
      <c r="MA188" s="121" t="s">
        <v>196</v>
      </c>
      <c r="MB188" s="121" t="s">
        <v>322</v>
      </c>
      <c r="MC188" s="122" t="s">
        <v>323</v>
      </c>
      <c r="MD188" s="123"/>
    </row>
    <row r="189" spans="338:342">
      <c r="LZ189" s="123"/>
      <c r="MA189" s="121"/>
      <c r="MB189" s="121" t="s">
        <v>324</v>
      </c>
      <c r="MC189" s="122"/>
      <c r="MD189" s="123"/>
    </row>
    <row r="190" spans="338:342">
      <c r="LZ190" s="123"/>
      <c r="MA190" s="121"/>
      <c r="MB190" s="121" t="s">
        <v>325</v>
      </c>
      <c r="MC190" s="122"/>
      <c r="MD190" s="123"/>
    </row>
    <row r="191" spans="338:342">
      <c r="LZ191" s="120">
        <v>2080</v>
      </c>
      <c r="MA191" s="121" t="s">
        <v>291</v>
      </c>
      <c r="MB191" s="121" t="s">
        <v>326</v>
      </c>
      <c r="MC191" s="122" t="s">
        <v>327</v>
      </c>
      <c r="MD191" s="123"/>
    </row>
    <row r="192" spans="338:342">
      <c r="LZ192" s="123"/>
      <c r="MA192" s="121"/>
      <c r="MB192" s="121" t="s">
        <v>328</v>
      </c>
      <c r="MC192" s="122"/>
      <c r="MD192" s="123"/>
    </row>
    <row r="193" spans="338:342">
      <c r="LZ193" s="123"/>
      <c r="MA193" s="121"/>
      <c r="MB193" s="121" t="s">
        <v>329</v>
      </c>
      <c r="MC193" s="122"/>
      <c r="MD193" s="123"/>
    </row>
    <row r="194" spans="338:342" ht="30.6">
      <c r="LZ194" s="120">
        <v>2090</v>
      </c>
      <c r="MA194" s="121" t="s">
        <v>291</v>
      </c>
      <c r="MB194" s="125" t="s">
        <v>330</v>
      </c>
      <c r="MC194" s="122" t="s">
        <v>267</v>
      </c>
      <c r="MD194" s="123"/>
    </row>
    <row r="195" spans="338:342">
      <c r="LZ195" s="120">
        <v>2091</v>
      </c>
      <c r="MA195" s="121" t="s">
        <v>291</v>
      </c>
      <c r="MB195" s="125" t="s">
        <v>331</v>
      </c>
      <c r="MC195" s="122" t="s">
        <v>332</v>
      </c>
      <c r="MD195" s="123"/>
    </row>
    <row r="196" spans="338:342">
      <c r="LZ196" s="123"/>
      <c r="MA196" s="121"/>
      <c r="MB196" s="121" t="s">
        <v>333</v>
      </c>
      <c r="MC196" s="122"/>
      <c r="MD196" s="123"/>
    </row>
    <row r="197" spans="338:342">
      <c r="LZ197" s="123"/>
      <c r="MA197" s="121"/>
      <c r="MB197" s="121" t="s">
        <v>334</v>
      </c>
      <c r="MC197" s="122"/>
      <c r="MD197" s="123"/>
    </row>
    <row r="198" spans="338:342">
      <c r="LZ198" s="120">
        <v>2092</v>
      </c>
      <c r="MA198" s="121" t="s">
        <v>291</v>
      </c>
      <c r="MB198" s="121" t="s">
        <v>335</v>
      </c>
      <c r="MC198" s="122" t="s">
        <v>183</v>
      </c>
      <c r="MD198" s="123"/>
    </row>
    <row r="199" spans="338:342">
      <c r="LZ199" s="123"/>
      <c r="MA199" s="121"/>
      <c r="MB199" s="121" t="s">
        <v>336</v>
      </c>
      <c r="MC199" s="122"/>
      <c r="MD199" s="123"/>
    </row>
    <row r="200" spans="338:342">
      <c r="LZ200" s="123"/>
      <c r="MA200" s="121"/>
      <c r="MB200" s="121" t="s">
        <v>337</v>
      </c>
      <c r="MC200" s="122"/>
      <c r="MD200" s="123"/>
    </row>
    <row r="201" spans="338:342">
      <c r="LZ201" s="120">
        <v>2093</v>
      </c>
      <c r="MA201" s="121" t="s">
        <v>291</v>
      </c>
      <c r="MB201" s="121" t="s">
        <v>338</v>
      </c>
      <c r="MC201" s="122" t="s">
        <v>339</v>
      </c>
      <c r="MD201" s="123"/>
    </row>
    <row r="202" spans="338:342" ht="20.399999999999999">
      <c r="LZ202" s="123"/>
      <c r="MA202" s="121"/>
      <c r="MB202" s="121" t="s">
        <v>340</v>
      </c>
      <c r="MC202" s="122"/>
      <c r="MD202" s="123"/>
    </row>
    <row r="203" spans="338:342">
      <c r="LZ203" s="120">
        <v>2094</v>
      </c>
      <c r="MA203" s="121" t="s">
        <v>291</v>
      </c>
      <c r="MB203" s="121" t="s">
        <v>341</v>
      </c>
      <c r="MC203" s="122" t="s">
        <v>342</v>
      </c>
      <c r="MD203" s="123"/>
    </row>
    <row r="204" spans="338:342">
      <c r="LZ204" s="123"/>
      <c r="MA204" s="121"/>
      <c r="MB204" s="121" t="s">
        <v>343</v>
      </c>
      <c r="MC204" s="122"/>
      <c r="MD204" s="123"/>
    </row>
    <row r="205" spans="338:342">
      <c r="LZ205" s="120">
        <v>2095</v>
      </c>
      <c r="MA205" s="121" t="s">
        <v>291</v>
      </c>
      <c r="MB205" s="121" t="s">
        <v>344</v>
      </c>
      <c r="MC205" s="122" t="s">
        <v>342</v>
      </c>
      <c r="MD205" s="123"/>
    </row>
    <row r="206" spans="338:342">
      <c r="LZ206" s="123"/>
      <c r="MA206" s="121"/>
      <c r="MB206" s="121" t="s">
        <v>345</v>
      </c>
      <c r="MC206" s="122"/>
      <c r="MD206" s="123"/>
    </row>
    <row r="207" spans="338:342">
      <c r="LZ207" s="123"/>
      <c r="MA207" s="121"/>
      <c r="MB207" s="121" t="s">
        <v>346</v>
      </c>
      <c r="MC207" s="122"/>
      <c r="MD207" s="123"/>
    </row>
    <row r="208" spans="338:342">
      <c r="LZ208" s="120">
        <v>2110</v>
      </c>
      <c r="MA208" s="121" t="s">
        <v>140</v>
      </c>
      <c r="MB208" s="121" t="s">
        <v>347</v>
      </c>
      <c r="MC208" s="122" t="s">
        <v>142</v>
      </c>
      <c r="MD208" s="123"/>
    </row>
    <row r="209" spans="338:342">
      <c r="LZ209" s="123"/>
      <c r="MA209" s="121"/>
      <c r="MB209" s="121" t="s">
        <v>348</v>
      </c>
      <c r="MC209" s="122"/>
      <c r="MD209" s="123"/>
    </row>
    <row r="210" spans="338:342">
      <c r="LZ210" s="123"/>
      <c r="MA210" s="121"/>
      <c r="MB210" s="121" t="s">
        <v>349</v>
      </c>
      <c r="MC210" s="122"/>
      <c r="MD210" s="123"/>
    </row>
    <row r="211" spans="338:342">
      <c r="LZ211" s="120">
        <v>2112</v>
      </c>
      <c r="MA211" s="121" t="s">
        <v>291</v>
      </c>
      <c r="MB211" s="121" t="s">
        <v>350</v>
      </c>
      <c r="MC211" s="122" t="s">
        <v>142</v>
      </c>
      <c r="MD211" s="123"/>
    </row>
    <row r="212" spans="338:342">
      <c r="LZ212" s="123"/>
      <c r="MA212" s="121"/>
      <c r="MB212" s="121" t="s">
        <v>351</v>
      </c>
      <c r="MC212" s="122"/>
      <c r="MD212" s="123"/>
    </row>
    <row r="213" spans="338:342">
      <c r="LZ213" s="120">
        <v>2113</v>
      </c>
      <c r="MA213" s="121" t="s">
        <v>291</v>
      </c>
      <c r="MB213" s="121" t="s">
        <v>352</v>
      </c>
      <c r="MC213" s="122" t="s">
        <v>142</v>
      </c>
      <c r="MD213" s="123"/>
    </row>
    <row r="214" spans="338:342">
      <c r="LZ214" s="123"/>
      <c r="MA214" s="121"/>
      <c r="MB214" s="121" t="s">
        <v>353</v>
      </c>
      <c r="MC214" s="122"/>
      <c r="MD214" s="123"/>
    </row>
    <row r="215" spans="338:342">
      <c r="LZ215" s="120">
        <v>3009</v>
      </c>
      <c r="MA215" s="121" t="s">
        <v>162</v>
      </c>
      <c r="MB215" s="121" t="s">
        <v>354</v>
      </c>
      <c r="MC215" s="122" t="s">
        <v>355</v>
      </c>
      <c r="MD215" s="123"/>
    </row>
    <row r="216" spans="338:342">
      <c r="LZ216" s="123"/>
      <c r="MA216" s="121"/>
      <c r="MB216" s="121" t="s">
        <v>356</v>
      </c>
      <c r="MC216" s="122"/>
      <c r="MD216" s="123"/>
    </row>
    <row r="217" spans="338:342">
      <c r="LZ217" s="120">
        <v>3010</v>
      </c>
      <c r="MA217" s="121" t="s">
        <v>147</v>
      </c>
      <c r="MB217" s="121" t="s">
        <v>357</v>
      </c>
      <c r="MC217" s="122" t="s">
        <v>358</v>
      </c>
      <c r="MD217" s="123"/>
    </row>
    <row r="218" spans="338:342">
      <c r="LZ218" s="123"/>
      <c r="MA218" s="121"/>
      <c r="MB218" s="121" t="s">
        <v>359</v>
      </c>
      <c r="MC218" s="122"/>
      <c r="MD218" s="123"/>
    </row>
    <row r="219" spans="338:342" ht="20.399999999999999">
      <c r="LZ219" s="123"/>
      <c r="MA219" s="121"/>
      <c r="MB219" s="121" t="s">
        <v>360</v>
      </c>
      <c r="MC219" s="122"/>
      <c r="MD219" s="123"/>
    </row>
    <row r="220" spans="338:342">
      <c r="LZ220" s="120">
        <v>3011</v>
      </c>
      <c r="MA220" s="121" t="s">
        <v>162</v>
      </c>
      <c r="MB220" s="121" t="s">
        <v>361</v>
      </c>
      <c r="MC220" s="122" t="s">
        <v>362</v>
      </c>
      <c r="MD220" s="123"/>
    </row>
    <row r="221" spans="338:342">
      <c r="LZ221" s="123"/>
      <c r="MA221" s="121"/>
      <c r="MB221" s="121" t="s">
        <v>363</v>
      </c>
      <c r="MC221" s="122"/>
      <c r="MD221" s="123"/>
    </row>
    <row r="222" spans="338:342">
      <c r="LZ222" s="120">
        <v>3012</v>
      </c>
      <c r="MA222" s="121" t="s">
        <v>147</v>
      </c>
      <c r="MB222" s="121" t="s">
        <v>364</v>
      </c>
      <c r="MC222" s="122" t="s">
        <v>237</v>
      </c>
      <c r="MD222" s="123"/>
    </row>
    <row r="223" spans="338:342">
      <c r="LZ223" s="123"/>
      <c r="MA223" s="121"/>
      <c r="MB223" s="121" t="s">
        <v>365</v>
      </c>
      <c r="MC223" s="122"/>
      <c r="MD223" s="123"/>
    </row>
    <row r="224" spans="338:342">
      <c r="LZ224" s="123"/>
      <c r="MA224" s="121"/>
      <c r="MB224" s="121" t="s">
        <v>366</v>
      </c>
      <c r="MC224" s="122"/>
      <c r="MD224" s="123"/>
    </row>
    <row r="225" spans="338:342">
      <c r="LZ225" s="120">
        <v>3013</v>
      </c>
      <c r="MA225" s="121" t="s">
        <v>174</v>
      </c>
      <c r="MB225" s="121" t="s">
        <v>367</v>
      </c>
      <c r="MC225" s="122" t="s">
        <v>210</v>
      </c>
      <c r="MD225" s="123"/>
    </row>
    <row r="226" spans="338:342">
      <c r="LZ226" s="123"/>
      <c r="MA226" s="121"/>
      <c r="MB226" s="121" t="s">
        <v>368</v>
      </c>
      <c r="MC226" s="122"/>
      <c r="MD226" s="123"/>
    </row>
    <row r="227" spans="338:342">
      <c r="LZ227" s="120">
        <v>3014</v>
      </c>
      <c r="MA227" s="121" t="s">
        <v>162</v>
      </c>
      <c r="MB227" s="121" t="s">
        <v>369</v>
      </c>
      <c r="MC227" s="122" t="s">
        <v>188</v>
      </c>
      <c r="MD227" s="123"/>
    </row>
    <row r="228" spans="338:342">
      <c r="LZ228" s="123"/>
      <c r="MA228" s="121"/>
      <c r="MB228" s="121" t="s">
        <v>370</v>
      </c>
      <c r="MC228" s="122"/>
      <c r="MD228" s="123"/>
    </row>
    <row r="229" spans="338:342">
      <c r="LZ229" s="123"/>
      <c r="MA229" s="121"/>
      <c r="MB229" s="121" t="s">
        <v>371</v>
      </c>
      <c r="MC229" s="122"/>
      <c r="MD229" s="123"/>
    </row>
    <row r="230" spans="338:342">
      <c r="LZ230" s="120">
        <v>3020</v>
      </c>
      <c r="MA230" s="121" t="s">
        <v>162</v>
      </c>
      <c r="MB230" s="121" t="s">
        <v>372</v>
      </c>
      <c r="MC230" s="122" t="s">
        <v>373</v>
      </c>
      <c r="MD230" s="123"/>
    </row>
    <row r="231" spans="338:342">
      <c r="LZ231" s="123"/>
      <c r="MA231" s="121"/>
      <c r="MB231" s="121" t="s">
        <v>374</v>
      </c>
      <c r="MC231" s="122"/>
      <c r="MD231" s="123"/>
    </row>
    <row r="232" spans="338:342" ht="20.399999999999999">
      <c r="LZ232" s="123"/>
      <c r="MA232" s="121"/>
      <c r="MB232" s="121" t="s">
        <v>375</v>
      </c>
      <c r="MC232" s="122"/>
      <c r="MD232" s="123"/>
    </row>
    <row r="233" spans="338:342">
      <c r="LZ233" s="120">
        <v>3021</v>
      </c>
      <c r="MA233" s="121" t="s">
        <v>162</v>
      </c>
      <c r="MB233" s="121" t="s">
        <v>376</v>
      </c>
      <c r="MC233" s="122" t="s">
        <v>377</v>
      </c>
      <c r="MD233" s="123"/>
    </row>
    <row r="234" spans="338:342">
      <c r="LZ234" s="123"/>
      <c r="MA234" s="121"/>
      <c r="MB234" s="121" t="s">
        <v>378</v>
      </c>
      <c r="MC234" s="122"/>
      <c r="MD234" s="123"/>
    </row>
    <row r="235" spans="338:342">
      <c r="LZ235" s="120">
        <v>3030</v>
      </c>
      <c r="MA235" s="121" t="s">
        <v>162</v>
      </c>
      <c r="MB235" s="121" t="s">
        <v>379</v>
      </c>
      <c r="MC235" s="122" t="s">
        <v>183</v>
      </c>
      <c r="MD235" s="123"/>
    </row>
    <row r="236" spans="338:342" ht="20.399999999999999">
      <c r="LZ236" s="123"/>
      <c r="MA236" s="121"/>
      <c r="MB236" s="121" t="s">
        <v>380</v>
      </c>
      <c r="MC236" s="122"/>
      <c r="MD236" s="123"/>
    </row>
    <row r="237" spans="338:342">
      <c r="LZ237" s="120">
        <v>3040</v>
      </c>
      <c r="MA237" s="121" t="s">
        <v>162</v>
      </c>
      <c r="MB237" s="121" t="s">
        <v>381</v>
      </c>
      <c r="MC237" s="122" t="s">
        <v>382</v>
      </c>
      <c r="MD237" s="123"/>
    </row>
    <row r="238" spans="338:342">
      <c r="LZ238" s="123"/>
      <c r="MA238" s="121"/>
      <c r="MB238" s="121" t="s">
        <v>383</v>
      </c>
      <c r="MC238" s="122"/>
      <c r="MD238" s="123"/>
    </row>
    <row r="239" spans="338:342">
      <c r="LZ239" s="123"/>
      <c r="MA239" s="121"/>
      <c r="MB239" s="121" t="s">
        <v>384</v>
      </c>
      <c r="MC239" s="122"/>
      <c r="MD239" s="123"/>
    </row>
    <row r="240" spans="338:342">
      <c r="LZ240" s="123"/>
      <c r="MA240" s="121"/>
      <c r="MB240" s="121" t="s">
        <v>385</v>
      </c>
      <c r="MC240" s="122"/>
      <c r="MD240" s="123"/>
    </row>
    <row r="241" spans="338:342" ht="40.799999999999997">
      <c r="LZ241" s="120">
        <v>3040</v>
      </c>
      <c r="MA241" s="121" t="s">
        <v>162</v>
      </c>
      <c r="MB241" s="125" t="s">
        <v>386</v>
      </c>
      <c r="MC241" s="122" t="s">
        <v>382</v>
      </c>
      <c r="MD241" s="123"/>
    </row>
    <row r="242" spans="338:342" ht="20.399999999999999">
      <c r="LZ242" s="120">
        <v>3050</v>
      </c>
      <c r="MA242" s="121" t="s">
        <v>162</v>
      </c>
      <c r="MB242" s="121" t="s">
        <v>387</v>
      </c>
      <c r="MC242" s="122" t="s">
        <v>388</v>
      </c>
      <c r="MD242" s="123"/>
    </row>
    <row r="243" spans="338:342">
      <c r="LZ243" s="123"/>
      <c r="MA243" s="121"/>
      <c r="MB243" s="121" t="s">
        <v>389</v>
      </c>
      <c r="MC243" s="122"/>
      <c r="MD243" s="123"/>
    </row>
    <row r="244" spans="338:342">
      <c r="LZ244" s="123"/>
      <c r="MA244" s="121"/>
      <c r="MB244" s="121" t="s">
        <v>390</v>
      </c>
      <c r="MC244" s="122"/>
      <c r="MD244" s="123"/>
    </row>
    <row r="245" spans="338:342">
      <c r="LZ245" s="120">
        <v>3051</v>
      </c>
      <c r="MA245" s="121" t="s">
        <v>162</v>
      </c>
      <c r="MB245" s="121" t="s">
        <v>391</v>
      </c>
      <c r="MC245" s="122" t="s">
        <v>392</v>
      </c>
      <c r="MD245" s="123"/>
    </row>
    <row r="246" spans="338:342">
      <c r="LZ246" s="123"/>
      <c r="MA246" s="121"/>
      <c r="MB246" s="121" t="s">
        <v>393</v>
      </c>
      <c r="MC246" s="122"/>
      <c r="MD246" s="123"/>
    </row>
    <row r="247" spans="338:342">
      <c r="LZ247" s="123"/>
      <c r="MA247" s="121"/>
      <c r="MB247" s="121" t="s">
        <v>394</v>
      </c>
      <c r="MC247" s="122"/>
      <c r="MD247" s="123"/>
    </row>
    <row r="248" spans="338:342">
      <c r="LZ248" s="120">
        <v>3060</v>
      </c>
      <c r="MA248" s="121" t="s">
        <v>395</v>
      </c>
      <c r="MB248" s="121" t="s">
        <v>396</v>
      </c>
      <c r="MC248" s="122" t="s">
        <v>397</v>
      </c>
      <c r="MD248" s="123"/>
    </row>
    <row r="249" spans="338:342">
      <c r="LZ249" s="123"/>
      <c r="MA249" s="121"/>
      <c r="MB249" s="121" t="s">
        <v>398</v>
      </c>
      <c r="MC249" s="122"/>
      <c r="MD249" s="123"/>
    </row>
    <row r="250" spans="338:342">
      <c r="LZ250" s="123"/>
      <c r="MA250" s="121"/>
      <c r="MB250" s="121" t="s">
        <v>399</v>
      </c>
      <c r="MC250" s="122"/>
      <c r="MD250" s="123"/>
    </row>
    <row r="251" spans="338:342">
      <c r="LZ251" s="123"/>
      <c r="MA251" s="121"/>
      <c r="MB251" s="121" t="s">
        <v>400</v>
      </c>
      <c r="MC251" s="122"/>
      <c r="MD251" s="123"/>
    </row>
    <row r="252" spans="338:342">
      <c r="LZ252" s="123"/>
      <c r="MA252" s="121"/>
      <c r="MB252" s="121" t="s">
        <v>401</v>
      </c>
      <c r="MC252" s="122"/>
      <c r="MD252" s="123"/>
    </row>
    <row r="253" spans="338:342">
      <c r="LZ253" s="120">
        <v>3061</v>
      </c>
      <c r="MA253" s="121" t="s">
        <v>395</v>
      </c>
      <c r="MB253" s="121" t="s">
        <v>402</v>
      </c>
      <c r="MC253" s="122" t="s">
        <v>271</v>
      </c>
      <c r="MD253" s="123"/>
    </row>
    <row r="254" spans="338:342">
      <c r="LZ254" s="123"/>
      <c r="MA254" s="121"/>
      <c r="MB254" s="121" t="s">
        <v>403</v>
      </c>
      <c r="MC254" s="122"/>
      <c r="MD254" s="123"/>
    </row>
    <row r="255" spans="338:342">
      <c r="LZ255" s="123"/>
      <c r="MA255" s="121"/>
      <c r="MB255" s="121" t="s">
        <v>404</v>
      </c>
      <c r="MC255" s="122"/>
      <c r="MD255" s="123"/>
    </row>
    <row r="256" spans="338:342">
      <c r="LZ256" s="120">
        <v>3070</v>
      </c>
      <c r="MA256" s="121" t="s">
        <v>405</v>
      </c>
      <c r="MB256" s="121" t="s">
        <v>406</v>
      </c>
      <c r="MC256" s="122" t="s">
        <v>407</v>
      </c>
      <c r="MD256" s="123"/>
    </row>
    <row r="257" spans="338:342">
      <c r="LZ257" s="123"/>
      <c r="MA257" s="121"/>
      <c r="MB257" s="121" t="s">
        <v>408</v>
      </c>
      <c r="MC257" s="122"/>
      <c r="MD257" s="123"/>
    </row>
    <row r="258" spans="338:342">
      <c r="LZ258" s="123"/>
      <c r="MA258" s="121"/>
      <c r="MB258" s="121" t="s">
        <v>409</v>
      </c>
      <c r="MC258" s="122"/>
      <c r="MD258" s="123"/>
    </row>
    <row r="259" spans="338:342">
      <c r="LZ259" s="120">
        <v>3080</v>
      </c>
      <c r="MA259" s="121" t="s">
        <v>395</v>
      </c>
      <c r="MB259" s="121" t="s">
        <v>410</v>
      </c>
      <c r="MC259" s="122" t="s">
        <v>226</v>
      </c>
      <c r="MD259" s="123"/>
    </row>
    <row r="260" spans="338:342">
      <c r="LZ260" s="123"/>
      <c r="MA260" s="121"/>
      <c r="MB260" s="121" t="s">
        <v>411</v>
      </c>
      <c r="MC260" s="122"/>
      <c r="MD260" s="123"/>
    </row>
    <row r="261" spans="338:342">
      <c r="LZ261" s="123"/>
      <c r="MA261" s="121"/>
      <c r="MB261" s="121" t="s">
        <v>412</v>
      </c>
      <c r="MC261" s="122"/>
      <c r="MD261" s="123"/>
    </row>
    <row r="262" spans="338:342">
      <c r="LZ262" s="120">
        <v>3081</v>
      </c>
      <c r="MA262" s="121" t="s">
        <v>395</v>
      </c>
      <c r="MB262" s="121" t="s">
        <v>413</v>
      </c>
      <c r="MC262" s="122" t="s">
        <v>414</v>
      </c>
      <c r="MD262" s="123"/>
    </row>
    <row r="263" spans="338:342">
      <c r="LZ263" s="123"/>
      <c r="MA263" s="121"/>
      <c r="MB263" s="121" t="s">
        <v>415</v>
      </c>
      <c r="MC263" s="122"/>
      <c r="MD263" s="123"/>
    </row>
    <row r="264" spans="338:342">
      <c r="LZ264" s="123"/>
      <c r="MA264" s="121"/>
      <c r="MB264" s="121" t="s">
        <v>416</v>
      </c>
      <c r="MC264" s="122"/>
      <c r="MD264" s="123"/>
    </row>
    <row r="265" spans="338:342">
      <c r="LZ265" s="120">
        <v>3082</v>
      </c>
      <c r="MA265" s="121" t="s">
        <v>395</v>
      </c>
      <c r="MB265" s="121" t="s">
        <v>417</v>
      </c>
      <c r="MC265" s="122" t="s">
        <v>418</v>
      </c>
      <c r="MD265" s="123"/>
    </row>
    <row r="266" spans="338:342">
      <c r="LZ266" s="123"/>
      <c r="MA266" s="121"/>
      <c r="MB266" s="121" t="s">
        <v>419</v>
      </c>
      <c r="MC266" s="122"/>
      <c r="MD266" s="123"/>
    </row>
    <row r="267" spans="338:342">
      <c r="LZ267" s="123"/>
      <c r="MA267" s="121"/>
      <c r="MB267" s="121" t="s">
        <v>420</v>
      </c>
      <c r="MC267" s="122"/>
      <c r="MD267" s="123"/>
    </row>
    <row r="268" spans="338:342">
      <c r="LZ268" s="120">
        <v>3090</v>
      </c>
      <c r="MA268" s="121" t="s">
        <v>147</v>
      </c>
      <c r="MB268" s="121" t="s">
        <v>421</v>
      </c>
      <c r="MC268" s="122" t="s">
        <v>422</v>
      </c>
      <c r="MD268" s="123"/>
    </row>
    <row r="269" spans="338:342">
      <c r="LZ269" s="123"/>
      <c r="MA269" s="121"/>
      <c r="MB269" s="121" t="s">
        <v>423</v>
      </c>
      <c r="MC269" s="122"/>
      <c r="MD269" s="123"/>
    </row>
    <row r="270" spans="338:342">
      <c r="LZ270" s="120">
        <v>3091</v>
      </c>
      <c r="MA270" s="121" t="s">
        <v>162</v>
      </c>
      <c r="MB270" s="121" t="s">
        <v>421</v>
      </c>
      <c r="MC270" s="122" t="s">
        <v>424</v>
      </c>
      <c r="MD270" s="123"/>
    </row>
    <row r="271" spans="338:342">
      <c r="LZ271" s="123"/>
      <c r="MA271" s="121"/>
      <c r="MB271" s="121" t="s">
        <v>425</v>
      </c>
      <c r="MC271" s="122"/>
      <c r="MD271" s="123"/>
    </row>
    <row r="272" spans="338:342">
      <c r="LZ272" s="120">
        <v>3100</v>
      </c>
      <c r="MA272" s="121" t="s">
        <v>426</v>
      </c>
      <c r="MB272" s="121" t="s">
        <v>427</v>
      </c>
      <c r="MC272" s="122" t="s">
        <v>428</v>
      </c>
      <c r="MD272" s="123"/>
    </row>
    <row r="273" spans="338:342">
      <c r="LZ273" s="123"/>
      <c r="MA273" s="121"/>
      <c r="MB273" s="121" t="s">
        <v>429</v>
      </c>
      <c r="MC273" s="122"/>
      <c r="MD273" s="123"/>
    </row>
    <row r="274" spans="338:342">
      <c r="LZ274" s="123"/>
      <c r="MA274" s="121"/>
      <c r="MB274" s="121" t="s">
        <v>430</v>
      </c>
      <c r="MC274" s="122"/>
      <c r="MD274" s="123"/>
    </row>
    <row r="275" spans="338:342">
      <c r="LZ275" s="123"/>
      <c r="MA275" s="121"/>
      <c r="MB275" s="121" t="s">
        <v>431</v>
      </c>
      <c r="MC275" s="122"/>
      <c r="MD275" s="123"/>
    </row>
    <row r="276" spans="338:342">
      <c r="LZ276" s="123"/>
      <c r="MA276" s="121"/>
      <c r="MB276" s="121" t="s">
        <v>432</v>
      </c>
      <c r="MC276" s="122"/>
      <c r="MD276" s="123"/>
    </row>
    <row r="277" spans="338:342">
      <c r="LZ277" s="123"/>
      <c r="MA277" s="121"/>
      <c r="MB277" s="121" t="s">
        <v>433</v>
      </c>
      <c r="MC277" s="122"/>
      <c r="MD277" s="123"/>
    </row>
    <row r="278" spans="338:342">
      <c r="LZ278" s="120">
        <v>3101</v>
      </c>
      <c r="MA278" s="121" t="s">
        <v>147</v>
      </c>
      <c r="MB278" s="121" t="s">
        <v>434</v>
      </c>
      <c r="MC278" s="122" t="s">
        <v>435</v>
      </c>
      <c r="MD278" s="123"/>
    </row>
    <row r="279" spans="338:342">
      <c r="LZ279" s="123"/>
      <c r="MA279" s="121"/>
      <c r="MB279" s="121" t="s">
        <v>436</v>
      </c>
      <c r="MC279" s="122"/>
      <c r="MD279" s="123"/>
    </row>
    <row r="280" spans="338:342">
      <c r="LZ280" s="120">
        <v>3110</v>
      </c>
      <c r="MA280" s="121" t="s">
        <v>426</v>
      </c>
      <c r="MB280" s="121" t="s">
        <v>437</v>
      </c>
      <c r="MC280" s="122" t="s">
        <v>438</v>
      </c>
      <c r="MD280" s="123"/>
    </row>
    <row r="281" spans="338:342">
      <c r="LZ281" s="123"/>
      <c r="MA281" s="121"/>
      <c r="MB281" s="121" t="s">
        <v>439</v>
      </c>
      <c r="MC281" s="122"/>
      <c r="MD281" s="123"/>
    </row>
    <row r="282" spans="338:342" ht="20.399999999999999">
      <c r="LZ282" s="120">
        <v>3120</v>
      </c>
      <c r="MA282" s="121" t="s">
        <v>147</v>
      </c>
      <c r="MB282" s="125" t="s">
        <v>440</v>
      </c>
      <c r="MC282" s="122" t="s">
        <v>441</v>
      </c>
      <c r="MD282" s="123"/>
    </row>
    <row r="283" spans="338:342">
      <c r="LZ283" s="123"/>
      <c r="MA283" s="121"/>
      <c r="MB283" s="121" t="s">
        <v>442</v>
      </c>
      <c r="MC283" s="122"/>
      <c r="MD283" s="123"/>
    </row>
    <row r="284" spans="338:342">
      <c r="LZ284" s="120">
        <v>3130</v>
      </c>
      <c r="MA284" s="121" t="s">
        <v>147</v>
      </c>
      <c r="MB284" s="121" t="s">
        <v>443</v>
      </c>
      <c r="MC284" s="122" t="s">
        <v>441</v>
      </c>
      <c r="MD284" s="123"/>
    </row>
    <row r="285" spans="338:342">
      <c r="LZ285" s="123"/>
      <c r="MA285" s="121"/>
      <c r="MB285" s="121" t="s">
        <v>444</v>
      </c>
      <c r="MC285" s="122"/>
      <c r="MD285" s="123"/>
    </row>
    <row r="286" spans="338:342">
      <c r="LZ286" s="120">
        <v>3132</v>
      </c>
      <c r="MA286" s="121" t="s">
        <v>147</v>
      </c>
      <c r="MB286" s="121" t="s">
        <v>445</v>
      </c>
      <c r="MC286" s="122" t="s">
        <v>446</v>
      </c>
      <c r="MD286" s="123"/>
    </row>
    <row r="287" spans="338:342">
      <c r="LZ287" s="123"/>
      <c r="MA287" s="121"/>
      <c r="MB287" s="121" t="s">
        <v>447</v>
      </c>
      <c r="MC287" s="122"/>
      <c r="MD287" s="123"/>
    </row>
    <row r="288" spans="338:342">
      <c r="LZ288" s="120">
        <v>3133</v>
      </c>
      <c r="MA288" s="121" t="s">
        <v>426</v>
      </c>
      <c r="MB288" s="121" t="s">
        <v>448</v>
      </c>
      <c r="MC288" s="122" t="s">
        <v>312</v>
      </c>
      <c r="MD288" s="123"/>
    </row>
    <row r="289" spans="338:342">
      <c r="LZ289" s="123"/>
      <c r="MA289" s="121"/>
      <c r="MB289" s="121" t="s">
        <v>449</v>
      </c>
      <c r="MC289" s="122"/>
      <c r="MD289" s="123"/>
    </row>
    <row r="290" spans="338:342">
      <c r="LZ290" s="120">
        <v>3150</v>
      </c>
      <c r="MA290" s="121" t="s">
        <v>395</v>
      </c>
      <c r="MB290" s="121" t="s">
        <v>450</v>
      </c>
      <c r="MC290" s="122" t="s">
        <v>451</v>
      </c>
      <c r="MD290" s="123"/>
    </row>
    <row r="291" spans="338:342">
      <c r="LZ291" s="123"/>
      <c r="MA291" s="121"/>
      <c r="MB291" s="121" t="s">
        <v>452</v>
      </c>
      <c r="MC291" s="122"/>
      <c r="MD291" s="123"/>
    </row>
    <row r="292" spans="338:342" ht="30.6">
      <c r="LZ292" s="120">
        <v>3160</v>
      </c>
      <c r="MA292" s="121" t="s">
        <v>299</v>
      </c>
      <c r="MB292" s="125" t="s">
        <v>453</v>
      </c>
      <c r="MC292" s="122" t="s">
        <v>454</v>
      </c>
      <c r="MD292" s="123"/>
    </row>
    <row r="293" spans="338:342" ht="20.399999999999999">
      <c r="LZ293" s="120">
        <v>3170</v>
      </c>
      <c r="MA293" s="121" t="s">
        <v>299</v>
      </c>
      <c r="MB293" s="121" t="s">
        <v>455</v>
      </c>
      <c r="MC293" s="122" t="s">
        <v>456</v>
      </c>
      <c r="MD293" s="123"/>
    </row>
    <row r="294" spans="338:342">
      <c r="LZ294" s="120">
        <v>3180</v>
      </c>
      <c r="MA294" s="121" t="s">
        <v>405</v>
      </c>
      <c r="MB294" s="121" t="s">
        <v>457</v>
      </c>
      <c r="MC294" s="122" t="s">
        <v>240</v>
      </c>
      <c r="MD294" s="123"/>
    </row>
    <row r="295" spans="338:342">
      <c r="LZ295" s="123"/>
      <c r="MA295" s="121"/>
      <c r="MB295" s="121" t="s">
        <v>458</v>
      </c>
      <c r="MC295" s="122"/>
      <c r="MD295" s="123"/>
    </row>
    <row r="296" spans="338:342">
      <c r="LZ296" s="123"/>
      <c r="MA296" s="121"/>
      <c r="MB296" s="121" t="s">
        <v>390</v>
      </c>
      <c r="MC296" s="122"/>
      <c r="MD296" s="123"/>
    </row>
    <row r="297" spans="338:342">
      <c r="LZ297" s="120">
        <v>3190</v>
      </c>
      <c r="MA297" s="121" t="s">
        <v>405</v>
      </c>
      <c r="MB297" s="121" t="s">
        <v>459</v>
      </c>
      <c r="MC297" s="122" t="s">
        <v>460</v>
      </c>
      <c r="MD297" s="123"/>
    </row>
    <row r="298" spans="338:342">
      <c r="LZ298" s="123"/>
      <c r="MA298" s="121"/>
      <c r="MB298" s="121" t="s">
        <v>461</v>
      </c>
      <c r="MC298" s="122"/>
      <c r="MD298" s="123"/>
    </row>
    <row r="299" spans="338:342">
      <c r="LZ299" s="120">
        <v>3200</v>
      </c>
      <c r="MA299" s="121" t="s">
        <v>162</v>
      </c>
      <c r="MB299" s="121" t="s">
        <v>462</v>
      </c>
      <c r="MC299" s="122" t="s">
        <v>193</v>
      </c>
      <c r="MD299" s="123"/>
    </row>
    <row r="300" spans="338:342">
      <c r="LZ300" s="123"/>
      <c r="MA300" s="121"/>
      <c r="MB300" s="121" t="s">
        <v>463</v>
      </c>
      <c r="MC300" s="122"/>
      <c r="MD300" s="123"/>
    </row>
    <row r="301" spans="338:342">
      <c r="LZ301" s="123"/>
      <c r="MA301" s="121"/>
      <c r="MB301" s="121" t="s">
        <v>464</v>
      </c>
      <c r="MC301" s="122"/>
      <c r="MD301" s="123"/>
    </row>
    <row r="302" spans="338:342">
      <c r="LZ302" s="120">
        <v>3210</v>
      </c>
      <c r="MA302" s="121" t="s">
        <v>162</v>
      </c>
      <c r="MB302" s="121" t="s">
        <v>465</v>
      </c>
      <c r="MC302" s="122" t="s">
        <v>466</v>
      </c>
      <c r="MD302" s="123"/>
    </row>
    <row r="303" spans="338:342">
      <c r="LZ303" s="123"/>
      <c r="MA303" s="121"/>
      <c r="MB303" s="121" t="s">
        <v>467</v>
      </c>
      <c r="MC303" s="122"/>
      <c r="MD303" s="123"/>
    </row>
    <row r="304" spans="338:342">
      <c r="LZ304" s="123"/>
      <c r="MA304" s="121"/>
      <c r="MB304" s="121" t="s">
        <v>468</v>
      </c>
      <c r="MC304" s="122"/>
      <c r="MD304" s="123"/>
    </row>
    <row r="305" spans="338:342">
      <c r="LZ305" s="120">
        <v>3215</v>
      </c>
      <c r="MA305" s="121" t="s">
        <v>162</v>
      </c>
      <c r="MB305" s="121" t="s">
        <v>469</v>
      </c>
      <c r="MC305" s="122" t="s">
        <v>470</v>
      </c>
      <c r="MD305" s="123"/>
    </row>
    <row r="306" spans="338:342">
      <c r="LZ306" s="123"/>
      <c r="MA306" s="121"/>
      <c r="MB306" s="121" t="s">
        <v>471</v>
      </c>
      <c r="MC306" s="122"/>
      <c r="MD306" s="123"/>
    </row>
    <row r="307" spans="338:342">
      <c r="LZ307" s="123"/>
      <c r="MA307" s="121"/>
      <c r="MB307" s="121" t="s">
        <v>472</v>
      </c>
      <c r="MC307" s="122"/>
      <c r="MD307" s="123"/>
    </row>
    <row r="308" spans="338:342">
      <c r="LZ308" s="123"/>
      <c r="MA308" s="121"/>
      <c r="MB308" s="121" t="s">
        <v>473</v>
      </c>
      <c r="MC308" s="122"/>
      <c r="MD308" s="123"/>
    </row>
    <row r="309" spans="338:342">
      <c r="LZ309" s="120">
        <v>3220</v>
      </c>
      <c r="MA309" s="121" t="s">
        <v>299</v>
      </c>
      <c r="MB309" s="121" t="s">
        <v>474</v>
      </c>
      <c r="MC309" s="122" t="s">
        <v>188</v>
      </c>
      <c r="MD309" s="123"/>
    </row>
    <row r="310" spans="338:342">
      <c r="LZ310" s="123"/>
      <c r="MA310" s="121"/>
      <c r="MB310" s="121" t="s">
        <v>475</v>
      </c>
      <c r="MC310" s="122"/>
      <c r="MD310" s="123"/>
    </row>
    <row r="311" spans="338:342">
      <c r="LZ311" s="123"/>
      <c r="MA311" s="121"/>
      <c r="MB311" s="121" t="s">
        <v>476</v>
      </c>
      <c r="MC311" s="122"/>
      <c r="MD311" s="123"/>
    </row>
    <row r="312" spans="338:342">
      <c r="LZ312" s="123"/>
      <c r="MA312" s="121"/>
      <c r="MB312" s="121" t="s">
        <v>477</v>
      </c>
      <c r="MC312" s="122"/>
      <c r="MD312" s="123"/>
    </row>
    <row r="313" spans="338:342">
      <c r="LZ313" s="120">
        <v>3230</v>
      </c>
      <c r="MA313" s="121" t="s">
        <v>299</v>
      </c>
      <c r="MB313" s="121" t="s">
        <v>478</v>
      </c>
      <c r="MC313" s="122" t="s">
        <v>479</v>
      </c>
      <c r="MD313" s="123"/>
    </row>
    <row r="314" spans="338:342">
      <c r="LZ314" s="123"/>
      <c r="MA314" s="121"/>
      <c r="MB314" s="121" t="s">
        <v>480</v>
      </c>
      <c r="MC314" s="122"/>
      <c r="MD314" s="123"/>
    </row>
    <row r="315" spans="338:342">
      <c r="LZ315" s="123"/>
      <c r="MA315" s="121"/>
      <c r="MB315" s="121" t="s">
        <v>481</v>
      </c>
      <c r="MC315" s="122"/>
      <c r="MD315" s="123"/>
    </row>
    <row r="316" spans="338:342">
      <c r="LZ316" s="120">
        <v>3240</v>
      </c>
      <c r="MA316" s="121" t="s">
        <v>299</v>
      </c>
      <c r="MB316" s="121" t="s">
        <v>482</v>
      </c>
      <c r="MC316" s="122" t="s">
        <v>483</v>
      </c>
      <c r="MD316" s="123"/>
    </row>
    <row r="317" spans="338:342">
      <c r="LZ317" s="123"/>
      <c r="MA317" s="121"/>
      <c r="MB317" s="121" t="s">
        <v>484</v>
      </c>
      <c r="MC317" s="122"/>
      <c r="MD317" s="123"/>
    </row>
    <row r="318" spans="338:342">
      <c r="LZ318" s="123"/>
      <c r="MA318" s="121"/>
      <c r="MB318" s="121" t="s">
        <v>485</v>
      </c>
      <c r="MC318" s="122"/>
      <c r="MD318" s="123"/>
    </row>
    <row r="319" spans="338:342">
      <c r="LZ319" s="120">
        <v>3241</v>
      </c>
      <c r="MA319" s="121" t="s">
        <v>299</v>
      </c>
      <c r="MB319" s="121" t="s">
        <v>486</v>
      </c>
      <c r="MC319" s="122" t="s">
        <v>487</v>
      </c>
      <c r="MD319" s="123"/>
    </row>
    <row r="320" spans="338:342">
      <c r="LZ320" s="123"/>
      <c r="MA320" s="121"/>
      <c r="MB320" s="121" t="s">
        <v>488</v>
      </c>
      <c r="MC320" s="122"/>
      <c r="MD320" s="123"/>
    </row>
    <row r="321" spans="338:342">
      <c r="LZ321" s="123"/>
      <c r="MA321" s="121"/>
      <c r="MB321" s="121" t="s">
        <v>489</v>
      </c>
      <c r="MC321" s="122"/>
      <c r="MD321" s="123"/>
    </row>
    <row r="322" spans="338:342">
      <c r="LZ322" s="120">
        <v>3242</v>
      </c>
      <c r="MA322" s="121" t="s">
        <v>299</v>
      </c>
      <c r="MB322" s="121" t="s">
        <v>490</v>
      </c>
      <c r="MC322" s="122" t="s">
        <v>491</v>
      </c>
      <c r="MD322" s="123"/>
    </row>
    <row r="323" spans="338:342">
      <c r="LZ323" s="123"/>
      <c r="MA323" s="121"/>
      <c r="MB323" s="121" t="s">
        <v>492</v>
      </c>
      <c r="MC323" s="122"/>
      <c r="MD323" s="123"/>
    </row>
    <row r="324" spans="338:342">
      <c r="LZ324" s="123"/>
      <c r="MA324" s="121"/>
      <c r="MB324" s="121" t="s">
        <v>493</v>
      </c>
      <c r="MC324" s="122"/>
      <c r="MD324" s="123"/>
    </row>
    <row r="325" spans="338:342">
      <c r="LZ325" s="120">
        <v>3243</v>
      </c>
      <c r="MA325" s="121" t="s">
        <v>299</v>
      </c>
      <c r="MB325" s="121" t="s">
        <v>494</v>
      </c>
      <c r="MC325" s="122" t="s">
        <v>495</v>
      </c>
      <c r="MD325" s="123"/>
    </row>
    <row r="326" spans="338:342">
      <c r="LZ326" s="123"/>
      <c r="MA326" s="121"/>
      <c r="MB326" s="121" t="s">
        <v>496</v>
      </c>
      <c r="MC326" s="122"/>
      <c r="MD326" s="123"/>
    </row>
    <row r="327" spans="338:342">
      <c r="LZ327" s="120">
        <v>3244</v>
      </c>
      <c r="MA327" s="121" t="s">
        <v>299</v>
      </c>
      <c r="MB327" s="121" t="s">
        <v>497</v>
      </c>
      <c r="MC327" s="122" t="s">
        <v>498</v>
      </c>
      <c r="MD327" s="123"/>
    </row>
    <row r="328" spans="338:342">
      <c r="LZ328" s="123"/>
      <c r="MA328" s="121"/>
      <c r="MB328" s="121" t="s">
        <v>499</v>
      </c>
      <c r="MC328" s="122"/>
      <c r="MD328" s="123"/>
    </row>
    <row r="329" spans="338:342">
      <c r="LZ329" s="120">
        <v>3250</v>
      </c>
      <c r="MA329" s="121" t="s">
        <v>162</v>
      </c>
      <c r="MB329" s="121" t="s">
        <v>500</v>
      </c>
      <c r="MC329" s="122" t="s">
        <v>501</v>
      </c>
      <c r="MD329" s="123"/>
    </row>
    <row r="330" spans="338:342">
      <c r="LZ330" s="123"/>
      <c r="MA330" s="121"/>
      <c r="MB330" s="121" t="s">
        <v>502</v>
      </c>
      <c r="MC330" s="122"/>
      <c r="MD330" s="123"/>
    </row>
    <row r="331" spans="338:342">
      <c r="LZ331" s="123"/>
      <c r="MA331" s="121"/>
      <c r="MB331" s="121" t="s">
        <v>503</v>
      </c>
      <c r="MC331" s="122"/>
      <c r="MD331" s="123"/>
    </row>
    <row r="332" spans="338:342">
      <c r="LZ332" s="120">
        <v>3251</v>
      </c>
      <c r="MA332" s="121" t="s">
        <v>395</v>
      </c>
      <c r="MB332" s="121" t="s">
        <v>504</v>
      </c>
      <c r="MC332" s="122" t="s">
        <v>505</v>
      </c>
      <c r="MD332" s="123"/>
    </row>
    <row r="333" spans="338:342">
      <c r="LZ333" s="123"/>
      <c r="MA333" s="121"/>
      <c r="MB333" s="121" t="s">
        <v>506</v>
      </c>
      <c r="MC333" s="122"/>
      <c r="MD333" s="123"/>
    </row>
    <row r="334" spans="338:342">
      <c r="LZ334" s="123"/>
      <c r="MA334" s="121"/>
      <c r="MB334" s="121" t="s">
        <v>507</v>
      </c>
      <c r="MC334" s="122"/>
      <c r="MD334" s="123"/>
    </row>
    <row r="335" spans="338:342">
      <c r="LZ335" s="120">
        <v>3252</v>
      </c>
      <c r="MA335" s="121" t="s">
        <v>395</v>
      </c>
      <c r="MB335" s="121" t="s">
        <v>508</v>
      </c>
      <c r="MC335" s="122" t="s">
        <v>509</v>
      </c>
      <c r="MD335" s="123"/>
    </row>
    <row r="336" spans="338:342" ht="20.399999999999999">
      <c r="LZ336" s="123"/>
      <c r="MA336" s="121"/>
      <c r="MB336" s="121" t="s">
        <v>510</v>
      </c>
      <c r="MC336" s="122"/>
      <c r="MD336" s="123"/>
    </row>
    <row r="337" spans="338:342">
      <c r="LZ337" s="120">
        <v>3253</v>
      </c>
      <c r="MA337" s="121" t="s">
        <v>162</v>
      </c>
      <c r="MB337" s="121" t="s">
        <v>511</v>
      </c>
      <c r="MC337" s="122" t="s">
        <v>512</v>
      </c>
      <c r="MD337" s="123"/>
    </row>
    <row r="338" spans="338:342">
      <c r="LZ338" s="123"/>
      <c r="MA338" s="121"/>
      <c r="MB338" s="121" t="s">
        <v>513</v>
      </c>
      <c r="MC338" s="122"/>
      <c r="MD338" s="123"/>
    </row>
    <row r="339" spans="338:342">
      <c r="LZ339" s="120">
        <v>3260</v>
      </c>
      <c r="MA339" s="121" t="s">
        <v>395</v>
      </c>
      <c r="MB339" s="121" t="s">
        <v>514</v>
      </c>
      <c r="MC339" s="122" t="s">
        <v>515</v>
      </c>
      <c r="MD339" s="123"/>
    </row>
    <row r="340" spans="338:342">
      <c r="LZ340" s="123"/>
      <c r="MA340" s="121"/>
      <c r="MB340" s="121" t="s">
        <v>516</v>
      </c>
      <c r="MC340" s="122"/>
      <c r="MD340" s="123"/>
    </row>
    <row r="341" spans="338:342">
      <c r="LZ341" s="123"/>
      <c r="MA341" s="121"/>
      <c r="MB341" s="121" t="s">
        <v>517</v>
      </c>
      <c r="MC341" s="122"/>
      <c r="MD341" s="123"/>
    </row>
    <row r="342" spans="338:342">
      <c r="LZ342" s="120">
        <v>3261</v>
      </c>
      <c r="MA342" s="121" t="s">
        <v>299</v>
      </c>
      <c r="MB342" s="121" t="s">
        <v>518</v>
      </c>
      <c r="MC342" s="122" t="s">
        <v>142</v>
      </c>
      <c r="MD342" s="123"/>
    </row>
    <row r="343" spans="338:342">
      <c r="LZ343" s="123"/>
      <c r="MA343" s="121"/>
      <c r="MB343" s="121" t="s">
        <v>519</v>
      </c>
      <c r="MC343" s="122"/>
      <c r="MD343" s="123"/>
    </row>
    <row r="344" spans="338:342">
      <c r="LZ344" s="123"/>
      <c r="MA344" s="121"/>
      <c r="MB344" s="121" t="s">
        <v>520</v>
      </c>
      <c r="MC344" s="122"/>
      <c r="MD344" s="123"/>
    </row>
    <row r="345" spans="338:342" ht="30.6">
      <c r="LZ345" s="120">
        <v>3270</v>
      </c>
      <c r="MA345" s="121" t="s">
        <v>299</v>
      </c>
      <c r="MB345" s="125" t="s">
        <v>521</v>
      </c>
      <c r="MC345" s="122" t="s">
        <v>522</v>
      </c>
      <c r="MD345" s="123"/>
    </row>
    <row r="346" spans="338:342" ht="20.399999999999999">
      <c r="LZ346" s="120">
        <v>3271</v>
      </c>
      <c r="MA346" s="121" t="s">
        <v>162</v>
      </c>
      <c r="MB346" s="121" t="s">
        <v>523</v>
      </c>
      <c r="MC346" s="122" t="s">
        <v>524</v>
      </c>
      <c r="MD346" s="123"/>
    </row>
    <row r="347" spans="338:342">
      <c r="LZ347" s="120">
        <v>3280</v>
      </c>
      <c r="MA347" s="121" t="s">
        <v>299</v>
      </c>
      <c r="MB347" s="121" t="s">
        <v>525</v>
      </c>
      <c r="MC347" s="122" t="s">
        <v>267</v>
      </c>
      <c r="MD347" s="123"/>
    </row>
    <row r="348" spans="338:342">
      <c r="LZ348" s="123"/>
      <c r="MA348" s="121"/>
      <c r="MB348" s="121" t="s">
        <v>526</v>
      </c>
      <c r="MC348" s="122"/>
      <c r="MD348" s="123"/>
    </row>
    <row r="349" spans="338:342">
      <c r="LZ349" s="123"/>
      <c r="MA349" s="121"/>
      <c r="MB349" s="121" t="s">
        <v>527</v>
      </c>
      <c r="MC349" s="122"/>
      <c r="MD349" s="123"/>
    </row>
    <row r="350" spans="338:342">
      <c r="LZ350" s="120">
        <v>3290</v>
      </c>
      <c r="MA350" s="121" t="s">
        <v>528</v>
      </c>
      <c r="MB350" s="121" t="s">
        <v>529</v>
      </c>
      <c r="MC350" s="122" t="s">
        <v>530</v>
      </c>
      <c r="MD350" s="123"/>
    </row>
    <row r="351" spans="338:342">
      <c r="LZ351" s="123"/>
      <c r="MA351" s="121"/>
      <c r="MB351" s="121" t="s">
        <v>531</v>
      </c>
      <c r="MC351" s="122"/>
      <c r="MD351" s="123"/>
    </row>
    <row r="352" spans="338:342">
      <c r="LZ352" s="120">
        <v>3291</v>
      </c>
      <c r="MA352" s="121" t="s">
        <v>528</v>
      </c>
      <c r="MB352" s="121" t="s">
        <v>532</v>
      </c>
      <c r="MC352" s="122" t="s">
        <v>533</v>
      </c>
      <c r="MD352" s="123"/>
    </row>
    <row r="353" spans="338:342">
      <c r="LZ353" s="123"/>
      <c r="MA353" s="121"/>
      <c r="MB353" s="121" t="s">
        <v>534</v>
      </c>
      <c r="MC353" s="122"/>
      <c r="MD353" s="123"/>
    </row>
    <row r="354" spans="338:342">
      <c r="LZ354" s="120">
        <v>3292</v>
      </c>
      <c r="MA354" s="121" t="s">
        <v>299</v>
      </c>
      <c r="MB354" s="121" t="s">
        <v>535</v>
      </c>
      <c r="MC354" s="122" t="s">
        <v>220</v>
      </c>
      <c r="MD354" s="123"/>
    </row>
    <row r="355" spans="338:342">
      <c r="LZ355" s="123"/>
      <c r="MA355" s="121"/>
      <c r="MB355" s="121" t="s">
        <v>536</v>
      </c>
      <c r="MC355" s="122"/>
      <c r="MD355" s="123"/>
    </row>
    <row r="356" spans="338:342">
      <c r="LZ356" s="120">
        <v>3293</v>
      </c>
      <c r="MA356" s="121" t="s">
        <v>405</v>
      </c>
      <c r="MB356" s="121" t="s">
        <v>537</v>
      </c>
      <c r="MC356" s="122" t="s">
        <v>538</v>
      </c>
      <c r="MD356" s="123"/>
    </row>
    <row r="357" spans="338:342">
      <c r="LZ357" s="123"/>
      <c r="MA357" s="121"/>
      <c r="MB357" s="121" t="s">
        <v>539</v>
      </c>
      <c r="MC357" s="122"/>
      <c r="MD357" s="123"/>
    </row>
    <row r="358" spans="338:342">
      <c r="LZ358" s="120">
        <v>3294</v>
      </c>
      <c r="MA358" s="121" t="s">
        <v>405</v>
      </c>
      <c r="MB358" s="121" t="s">
        <v>540</v>
      </c>
      <c r="MC358" s="122" t="s">
        <v>541</v>
      </c>
      <c r="MD358" s="123"/>
    </row>
    <row r="359" spans="338:342">
      <c r="LZ359" s="123"/>
      <c r="MA359" s="121"/>
      <c r="MB359" s="121" t="s">
        <v>542</v>
      </c>
      <c r="MC359" s="122"/>
      <c r="MD359" s="123"/>
    </row>
    <row r="360" spans="338:342">
      <c r="LZ360" s="120">
        <v>3300</v>
      </c>
      <c r="MA360" s="121" t="s">
        <v>162</v>
      </c>
      <c r="MB360" s="121" t="s">
        <v>543</v>
      </c>
      <c r="MC360" s="122" t="s">
        <v>544</v>
      </c>
      <c r="MD360" s="123"/>
    </row>
    <row r="361" spans="338:342">
      <c r="LZ361" s="123"/>
      <c r="MA361" s="121"/>
      <c r="MB361" s="121" t="s">
        <v>545</v>
      </c>
      <c r="MC361" s="122"/>
      <c r="MD361" s="123"/>
    </row>
    <row r="362" spans="338:342">
      <c r="LZ362" s="123"/>
      <c r="MA362" s="121"/>
      <c r="MB362" s="121" t="s">
        <v>546</v>
      </c>
      <c r="MC362" s="122"/>
      <c r="MD362" s="123"/>
    </row>
    <row r="363" spans="338:342">
      <c r="LZ363" s="120">
        <v>3310</v>
      </c>
      <c r="MA363" s="121" t="s">
        <v>162</v>
      </c>
      <c r="MB363" s="121" t="s">
        <v>547</v>
      </c>
      <c r="MC363" s="122" t="s">
        <v>548</v>
      </c>
      <c r="MD363" s="123"/>
    </row>
    <row r="364" spans="338:342">
      <c r="LZ364" s="123"/>
      <c r="MA364" s="121"/>
      <c r="MB364" s="121" t="s">
        <v>549</v>
      </c>
      <c r="MC364" s="122"/>
      <c r="MD364" s="123"/>
    </row>
    <row r="365" spans="338:342">
      <c r="LZ365" s="123"/>
      <c r="MA365" s="121"/>
      <c r="MB365" s="121" t="s">
        <v>550</v>
      </c>
      <c r="MC365" s="122"/>
      <c r="MD365" s="123"/>
    </row>
    <row r="366" spans="338:342">
      <c r="LZ366" s="120">
        <v>3320</v>
      </c>
      <c r="MA366" s="121" t="s">
        <v>162</v>
      </c>
      <c r="MB366" s="121" t="s">
        <v>551</v>
      </c>
      <c r="MC366" s="122" t="s">
        <v>548</v>
      </c>
      <c r="MD366" s="123"/>
    </row>
    <row r="367" spans="338:342">
      <c r="LZ367" s="123"/>
      <c r="MA367" s="121"/>
      <c r="MB367" s="121" t="s">
        <v>552</v>
      </c>
      <c r="MC367" s="122"/>
      <c r="MD367" s="123"/>
    </row>
    <row r="368" spans="338:342">
      <c r="LZ368" s="123"/>
      <c r="MA368" s="121"/>
      <c r="MB368" s="121" t="s">
        <v>553</v>
      </c>
      <c r="MC368" s="122"/>
      <c r="MD368" s="123"/>
    </row>
    <row r="369" spans="338:342">
      <c r="LZ369" s="120">
        <v>3330</v>
      </c>
      <c r="MA369" s="121" t="s">
        <v>405</v>
      </c>
      <c r="MB369" s="121" t="s">
        <v>554</v>
      </c>
      <c r="MC369" s="122" t="s">
        <v>555</v>
      </c>
      <c r="MD369" s="123"/>
    </row>
    <row r="370" spans="338:342">
      <c r="LZ370" s="123"/>
      <c r="MA370" s="121"/>
      <c r="MB370" s="121" t="s">
        <v>556</v>
      </c>
      <c r="MC370" s="122"/>
      <c r="MD370" s="123"/>
    </row>
    <row r="371" spans="338:342">
      <c r="LZ371" s="120">
        <v>3331</v>
      </c>
      <c r="MA371" s="121" t="s">
        <v>405</v>
      </c>
      <c r="MB371" s="121" t="s">
        <v>557</v>
      </c>
      <c r="MC371" s="122" t="s">
        <v>558</v>
      </c>
      <c r="MD371" s="123"/>
    </row>
    <row r="372" spans="338:342" ht="20.399999999999999">
      <c r="LZ372" s="123"/>
      <c r="MA372" s="121"/>
      <c r="MB372" s="121" t="s">
        <v>559</v>
      </c>
      <c r="MC372" s="122"/>
      <c r="MD372" s="123"/>
    </row>
    <row r="373" spans="338:342">
      <c r="LZ373" s="120">
        <v>3332</v>
      </c>
      <c r="MA373" s="121" t="s">
        <v>405</v>
      </c>
      <c r="MB373" s="121" t="s">
        <v>560</v>
      </c>
      <c r="MC373" s="122" t="s">
        <v>561</v>
      </c>
      <c r="MD373" s="123"/>
    </row>
    <row r="374" spans="338:342">
      <c r="LZ374" s="123"/>
      <c r="MA374" s="121"/>
      <c r="MB374" s="121" t="s">
        <v>562</v>
      </c>
      <c r="MC374" s="122"/>
      <c r="MD374" s="123"/>
    </row>
    <row r="375" spans="338:342">
      <c r="LZ375" s="120">
        <v>3340</v>
      </c>
      <c r="MA375" s="121" t="s">
        <v>405</v>
      </c>
      <c r="MB375" s="121" t="s">
        <v>563</v>
      </c>
      <c r="MC375" s="122" t="s">
        <v>564</v>
      </c>
      <c r="MD375" s="123"/>
    </row>
    <row r="376" spans="338:342">
      <c r="LZ376" s="123"/>
      <c r="MA376" s="121"/>
      <c r="MB376" s="121" t="s">
        <v>565</v>
      </c>
      <c r="MC376" s="122"/>
      <c r="MD376" s="123"/>
    </row>
    <row r="377" spans="338:342">
      <c r="LZ377" s="123"/>
      <c r="MA377" s="121"/>
      <c r="MB377" s="121" t="s">
        <v>566</v>
      </c>
      <c r="MC377" s="122"/>
      <c r="MD377" s="123"/>
    </row>
    <row r="378" spans="338:342">
      <c r="LZ378" s="120">
        <v>3341</v>
      </c>
      <c r="MA378" s="121" t="s">
        <v>405</v>
      </c>
      <c r="MB378" s="121" t="s">
        <v>567</v>
      </c>
      <c r="MC378" s="122" t="s">
        <v>568</v>
      </c>
      <c r="MD378" s="123"/>
    </row>
    <row r="379" spans="338:342">
      <c r="LZ379" s="123"/>
      <c r="MA379" s="121"/>
      <c r="MB379" s="121" t="s">
        <v>569</v>
      </c>
      <c r="MC379" s="122"/>
      <c r="MD379" s="123"/>
    </row>
    <row r="380" spans="338:342">
      <c r="LZ380" s="120">
        <v>3342</v>
      </c>
      <c r="MA380" s="121" t="s">
        <v>405</v>
      </c>
      <c r="MB380" s="121" t="s">
        <v>570</v>
      </c>
      <c r="MC380" s="122" t="s">
        <v>571</v>
      </c>
      <c r="MD380" s="123"/>
    </row>
    <row r="381" spans="338:342">
      <c r="LZ381" s="123"/>
      <c r="MA381" s="121"/>
      <c r="MB381" s="121" t="s">
        <v>572</v>
      </c>
      <c r="MC381" s="122"/>
      <c r="MD381" s="123"/>
    </row>
    <row r="382" spans="338:342">
      <c r="LZ382" s="120">
        <v>3343</v>
      </c>
      <c r="MA382" s="121" t="s">
        <v>405</v>
      </c>
      <c r="MB382" s="121" t="s">
        <v>573</v>
      </c>
      <c r="MC382" s="122" t="s">
        <v>574</v>
      </c>
      <c r="MD382" s="123"/>
    </row>
    <row r="383" spans="338:342">
      <c r="LZ383" s="123"/>
      <c r="MA383" s="121"/>
      <c r="MB383" s="121" t="s">
        <v>575</v>
      </c>
      <c r="MC383" s="122"/>
      <c r="MD383" s="123"/>
    </row>
    <row r="384" spans="338:342">
      <c r="LZ384" s="120">
        <v>3344</v>
      </c>
      <c r="MA384" s="121" t="s">
        <v>405</v>
      </c>
      <c r="MB384" s="121" t="s">
        <v>576</v>
      </c>
      <c r="MC384" s="122" t="s">
        <v>577</v>
      </c>
      <c r="MD384" s="123"/>
    </row>
    <row r="385" spans="338:342">
      <c r="LZ385" s="123"/>
      <c r="MA385" s="121"/>
      <c r="MB385" s="121" t="s">
        <v>578</v>
      </c>
      <c r="MC385" s="122"/>
      <c r="MD385" s="123"/>
    </row>
    <row r="386" spans="338:342">
      <c r="LZ386" s="120">
        <v>3345</v>
      </c>
      <c r="MA386" s="121" t="s">
        <v>405</v>
      </c>
      <c r="MB386" s="121" t="s">
        <v>579</v>
      </c>
      <c r="MC386" s="122" t="s">
        <v>580</v>
      </c>
      <c r="MD386" s="123"/>
    </row>
    <row r="387" spans="338:342">
      <c r="LZ387" s="123"/>
      <c r="MA387" s="121"/>
      <c r="MB387" s="121" t="s">
        <v>581</v>
      </c>
      <c r="MC387" s="122"/>
      <c r="MD387" s="123"/>
    </row>
    <row r="388" spans="338:342">
      <c r="LZ388" s="120">
        <v>3346</v>
      </c>
      <c r="MA388" s="121" t="s">
        <v>405</v>
      </c>
      <c r="MB388" s="121" t="s">
        <v>582</v>
      </c>
      <c r="MC388" s="122" t="s">
        <v>583</v>
      </c>
      <c r="MD388" s="123"/>
    </row>
    <row r="389" spans="338:342">
      <c r="LZ389" s="123"/>
      <c r="MA389" s="121"/>
      <c r="MB389" s="121" t="s">
        <v>584</v>
      </c>
      <c r="MC389" s="122"/>
      <c r="MD389" s="123"/>
    </row>
    <row r="390" spans="338:342">
      <c r="LZ390" s="120">
        <v>3347</v>
      </c>
      <c r="MA390" s="121" t="s">
        <v>405</v>
      </c>
      <c r="MB390" s="121" t="s">
        <v>585</v>
      </c>
      <c r="MC390" s="122" t="s">
        <v>586</v>
      </c>
      <c r="MD390" s="123"/>
    </row>
    <row r="391" spans="338:342">
      <c r="LZ391" s="123"/>
      <c r="MA391" s="121"/>
      <c r="MB391" s="121" t="s">
        <v>587</v>
      </c>
      <c r="MC391" s="122"/>
      <c r="MD391" s="123"/>
    </row>
    <row r="392" spans="338:342">
      <c r="LZ392" s="120">
        <v>3348</v>
      </c>
      <c r="MA392" s="121" t="s">
        <v>405</v>
      </c>
      <c r="MB392" s="121" t="s">
        <v>588</v>
      </c>
      <c r="MC392" s="122" t="s">
        <v>589</v>
      </c>
      <c r="MD392" s="123"/>
    </row>
    <row r="393" spans="338:342">
      <c r="LZ393" s="123"/>
      <c r="MA393" s="121"/>
      <c r="MB393" s="121" t="s">
        <v>590</v>
      </c>
      <c r="MC393" s="122"/>
      <c r="MD393" s="123"/>
    </row>
    <row r="394" spans="338:342">
      <c r="LZ394" s="120">
        <v>3349</v>
      </c>
      <c r="MA394" s="121" t="s">
        <v>405</v>
      </c>
      <c r="MB394" s="121" t="s">
        <v>591</v>
      </c>
      <c r="MC394" s="122" t="s">
        <v>592</v>
      </c>
      <c r="MD394" s="123"/>
    </row>
    <row r="395" spans="338:342">
      <c r="LZ395" s="123"/>
      <c r="MA395" s="121"/>
      <c r="MB395" s="121" t="s">
        <v>593</v>
      </c>
      <c r="MC395" s="122"/>
      <c r="MD395" s="123"/>
    </row>
    <row r="396" spans="338:342" ht="40.799999999999997">
      <c r="LZ396" s="120">
        <v>3350</v>
      </c>
      <c r="MA396" s="121" t="s">
        <v>405</v>
      </c>
      <c r="MB396" s="125" t="s">
        <v>594</v>
      </c>
      <c r="MC396" s="122" t="s">
        <v>595</v>
      </c>
      <c r="MD396" s="123"/>
    </row>
    <row r="397" spans="338:342">
      <c r="LZ397" s="120">
        <v>3351</v>
      </c>
      <c r="MA397" s="121" t="s">
        <v>405</v>
      </c>
      <c r="MB397" s="125" t="s">
        <v>596</v>
      </c>
      <c r="MC397" s="122" t="s">
        <v>568</v>
      </c>
      <c r="MD397" s="123"/>
    </row>
    <row r="398" spans="338:342">
      <c r="LZ398" s="123"/>
      <c r="MA398" s="121"/>
      <c r="MB398" s="121" t="s">
        <v>597</v>
      </c>
      <c r="MC398" s="122"/>
      <c r="MD398" s="123"/>
    </row>
    <row r="399" spans="338:342">
      <c r="LZ399" s="120">
        <v>3352</v>
      </c>
      <c r="MA399" s="121" t="s">
        <v>405</v>
      </c>
      <c r="MB399" s="121" t="s">
        <v>598</v>
      </c>
      <c r="MC399" s="122" t="s">
        <v>571</v>
      </c>
      <c r="MD399" s="123"/>
    </row>
    <row r="400" spans="338:342">
      <c r="LZ400" s="123"/>
      <c r="MA400" s="121"/>
      <c r="MB400" s="121" t="s">
        <v>599</v>
      </c>
      <c r="MC400" s="122"/>
      <c r="MD400" s="123"/>
    </row>
    <row r="401" spans="338:342">
      <c r="LZ401" s="120">
        <v>3353</v>
      </c>
      <c r="MA401" s="121" t="s">
        <v>405</v>
      </c>
      <c r="MB401" s="121" t="s">
        <v>600</v>
      </c>
      <c r="MC401" s="122" t="s">
        <v>574</v>
      </c>
      <c r="MD401" s="123"/>
    </row>
    <row r="402" spans="338:342">
      <c r="LZ402" s="123"/>
      <c r="MA402" s="121"/>
      <c r="MB402" s="121" t="s">
        <v>601</v>
      </c>
      <c r="MC402" s="122"/>
      <c r="MD402" s="123"/>
    </row>
    <row r="403" spans="338:342">
      <c r="LZ403" s="120">
        <v>3354</v>
      </c>
      <c r="MA403" s="121" t="s">
        <v>405</v>
      </c>
      <c r="MB403" s="121" t="s">
        <v>602</v>
      </c>
      <c r="MC403" s="122" t="s">
        <v>577</v>
      </c>
      <c r="MD403" s="123"/>
    </row>
    <row r="404" spans="338:342">
      <c r="LZ404" s="123"/>
      <c r="MA404" s="121"/>
      <c r="MB404" s="121" t="s">
        <v>603</v>
      </c>
      <c r="MC404" s="122"/>
      <c r="MD404" s="123"/>
    </row>
    <row r="405" spans="338:342">
      <c r="LZ405" s="120">
        <v>3355</v>
      </c>
      <c r="MA405" s="121" t="s">
        <v>405</v>
      </c>
      <c r="MB405" s="121" t="s">
        <v>604</v>
      </c>
      <c r="MC405" s="122" t="s">
        <v>580</v>
      </c>
      <c r="MD405" s="123"/>
    </row>
    <row r="406" spans="338:342">
      <c r="LZ406" s="123"/>
      <c r="MA406" s="121"/>
      <c r="MB406" s="121" t="s">
        <v>605</v>
      </c>
      <c r="MC406" s="122"/>
      <c r="MD406" s="123"/>
    </row>
    <row r="407" spans="338:342">
      <c r="LZ407" s="120">
        <v>3356</v>
      </c>
      <c r="MA407" s="121" t="s">
        <v>405</v>
      </c>
      <c r="MB407" s="121" t="s">
        <v>606</v>
      </c>
      <c r="MC407" s="122" t="s">
        <v>583</v>
      </c>
      <c r="MD407" s="123"/>
    </row>
    <row r="408" spans="338:342">
      <c r="LZ408" s="123"/>
      <c r="MA408" s="121"/>
      <c r="MB408" s="121" t="s">
        <v>607</v>
      </c>
      <c r="MC408" s="122"/>
      <c r="MD408" s="123"/>
    </row>
    <row r="409" spans="338:342">
      <c r="LZ409" s="120">
        <v>3357</v>
      </c>
      <c r="MA409" s="121" t="s">
        <v>405</v>
      </c>
      <c r="MB409" s="121" t="s">
        <v>608</v>
      </c>
      <c r="MC409" s="122" t="s">
        <v>586</v>
      </c>
      <c r="MD409" s="123"/>
    </row>
    <row r="410" spans="338:342">
      <c r="LZ410" s="123"/>
      <c r="MA410" s="121"/>
      <c r="MB410" s="121" t="s">
        <v>609</v>
      </c>
      <c r="MC410" s="122"/>
      <c r="MD410" s="123"/>
    </row>
    <row r="411" spans="338:342">
      <c r="LZ411" s="120">
        <v>3358</v>
      </c>
      <c r="MA411" s="121" t="s">
        <v>405</v>
      </c>
      <c r="MB411" s="121" t="s">
        <v>610</v>
      </c>
      <c r="MC411" s="122" t="s">
        <v>589</v>
      </c>
      <c r="MD411" s="123"/>
    </row>
    <row r="412" spans="338:342">
      <c r="LZ412" s="123"/>
      <c r="MA412" s="121"/>
      <c r="MB412" s="121" t="s">
        <v>611</v>
      </c>
      <c r="MC412" s="122"/>
      <c r="MD412" s="123"/>
    </row>
    <row r="413" spans="338:342">
      <c r="LZ413" s="120">
        <v>3359</v>
      </c>
      <c r="MA413" s="121" t="s">
        <v>405</v>
      </c>
      <c r="MB413" s="121" t="s">
        <v>612</v>
      </c>
      <c r="MC413" s="122" t="s">
        <v>613</v>
      </c>
      <c r="MD413" s="123"/>
    </row>
    <row r="414" spans="338:342">
      <c r="LZ414" s="123"/>
      <c r="MA414" s="121"/>
      <c r="MB414" s="121" t="s">
        <v>614</v>
      </c>
      <c r="MC414" s="122"/>
      <c r="MD414" s="123"/>
    </row>
    <row r="415" spans="338:342">
      <c r="LZ415" s="120">
        <v>3360</v>
      </c>
      <c r="MA415" s="121" t="s">
        <v>405</v>
      </c>
      <c r="MB415" s="121" t="s">
        <v>615</v>
      </c>
      <c r="MC415" s="122" t="s">
        <v>592</v>
      </c>
      <c r="MD415" s="123"/>
    </row>
    <row r="416" spans="338:342">
      <c r="LZ416" s="123"/>
      <c r="MA416" s="121"/>
      <c r="MB416" s="121" t="s">
        <v>616</v>
      </c>
      <c r="MC416" s="122"/>
      <c r="MD416" s="123"/>
    </row>
    <row r="417" spans="338:342">
      <c r="LZ417" s="120">
        <v>3360</v>
      </c>
      <c r="MA417" s="121" t="s">
        <v>405</v>
      </c>
      <c r="MB417" s="121" t="s">
        <v>615</v>
      </c>
      <c r="MC417" s="122" t="s">
        <v>592</v>
      </c>
      <c r="MD417" s="123"/>
    </row>
    <row r="418" spans="338:342">
      <c r="LZ418" s="123"/>
      <c r="MA418" s="121"/>
      <c r="MB418" s="121" t="s">
        <v>616</v>
      </c>
      <c r="MC418" s="122"/>
      <c r="MD418" s="123"/>
    </row>
    <row r="419" spans="338:342">
      <c r="LZ419" s="120">
        <v>3361</v>
      </c>
      <c r="MA419" s="121" t="s">
        <v>405</v>
      </c>
      <c r="MB419" s="121" t="s">
        <v>617</v>
      </c>
      <c r="MC419" s="122" t="s">
        <v>618</v>
      </c>
      <c r="MD419" s="123"/>
    </row>
    <row r="420" spans="338:342">
      <c r="LZ420" s="123"/>
      <c r="MA420" s="121"/>
      <c r="MB420" s="121" t="s">
        <v>619</v>
      </c>
      <c r="MC420" s="122"/>
      <c r="MD420" s="123"/>
    </row>
    <row r="421" spans="338:342">
      <c r="LZ421" s="120">
        <v>3362</v>
      </c>
      <c r="MA421" s="121" t="s">
        <v>405</v>
      </c>
      <c r="MB421" s="121" t="s">
        <v>620</v>
      </c>
      <c r="MC421" s="122" t="s">
        <v>621</v>
      </c>
      <c r="MD421" s="123"/>
    </row>
    <row r="422" spans="338:342">
      <c r="LZ422" s="123"/>
      <c r="MA422" s="121"/>
      <c r="MB422" s="121" t="s">
        <v>622</v>
      </c>
      <c r="MC422" s="122"/>
      <c r="MD422" s="123"/>
    </row>
    <row r="423" spans="338:342">
      <c r="LZ423" s="120">
        <v>3363</v>
      </c>
      <c r="MA423" s="121" t="s">
        <v>405</v>
      </c>
      <c r="MB423" s="121" t="s">
        <v>623</v>
      </c>
      <c r="MC423" s="122" t="s">
        <v>201</v>
      </c>
      <c r="MD423" s="123"/>
    </row>
    <row r="424" spans="338:342">
      <c r="LZ424" s="123"/>
      <c r="MA424" s="121"/>
      <c r="MB424" s="121" t="s">
        <v>624</v>
      </c>
      <c r="MC424" s="122"/>
      <c r="MD424" s="123"/>
    </row>
    <row r="425" spans="338:342">
      <c r="LZ425" s="120">
        <v>3364</v>
      </c>
      <c r="MA425" s="121" t="s">
        <v>405</v>
      </c>
      <c r="MB425" s="121" t="s">
        <v>625</v>
      </c>
      <c r="MC425" s="122" t="s">
        <v>250</v>
      </c>
      <c r="MD425" s="123"/>
    </row>
    <row r="426" spans="338:342">
      <c r="LZ426" s="123"/>
      <c r="MA426" s="121"/>
      <c r="MB426" s="121" t="s">
        <v>626</v>
      </c>
      <c r="MC426" s="122"/>
      <c r="MD426" s="123"/>
    </row>
    <row r="427" spans="338:342">
      <c r="LZ427" s="120">
        <v>3365</v>
      </c>
      <c r="MA427" s="121" t="s">
        <v>405</v>
      </c>
      <c r="MB427" s="121" t="s">
        <v>627</v>
      </c>
      <c r="MC427" s="122" t="s">
        <v>628</v>
      </c>
      <c r="MD427" s="123"/>
    </row>
    <row r="428" spans="338:342">
      <c r="LZ428" s="123"/>
      <c r="MA428" s="121"/>
      <c r="MB428" s="121" t="s">
        <v>629</v>
      </c>
      <c r="MC428" s="122"/>
      <c r="MD428" s="123"/>
    </row>
    <row r="429" spans="338:342">
      <c r="LZ429" s="123"/>
      <c r="MA429" s="121"/>
      <c r="MB429" s="121" t="s">
        <v>630</v>
      </c>
      <c r="MC429" s="122"/>
      <c r="MD429" s="123"/>
    </row>
    <row r="430" spans="338:342">
      <c r="LZ430" s="120">
        <v>3366</v>
      </c>
      <c r="MA430" s="121" t="s">
        <v>405</v>
      </c>
      <c r="MB430" s="121" t="s">
        <v>631</v>
      </c>
      <c r="MC430" s="122" t="s">
        <v>632</v>
      </c>
      <c r="MD430" s="123"/>
    </row>
    <row r="431" spans="338:342">
      <c r="LZ431" s="123"/>
      <c r="MA431" s="121"/>
      <c r="MB431" s="121" t="s">
        <v>633</v>
      </c>
      <c r="MC431" s="122"/>
      <c r="MD431" s="123"/>
    </row>
    <row r="432" spans="338:342">
      <c r="LZ432" s="123"/>
      <c r="MA432" s="121"/>
      <c r="MB432" s="121" t="s">
        <v>634</v>
      </c>
      <c r="MC432" s="122"/>
      <c r="MD432" s="123"/>
    </row>
    <row r="433" spans="338:342" ht="20.399999999999999">
      <c r="LZ433" s="123"/>
      <c r="MA433" s="121"/>
      <c r="MB433" s="121" t="s">
        <v>635</v>
      </c>
      <c r="MC433" s="122"/>
      <c r="MD433" s="123"/>
    </row>
    <row r="434" spans="338:342">
      <c r="LZ434" s="120">
        <v>3367</v>
      </c>
      <c r="MA434" s="121" t="s">
        <v>405</v>
      </c>
      <c r="MB434" s="121" t="s">
        <v>636</v>
      </c>
      <c r="MC434" s="122" t="s">
        <v>637</v>
      </c>
      <c r="MD434" s="123"/>
    </row>
    <row r="435" spans="338:342">
      <c r="LZ435" s="123"/>
      <c r="MA435" s="121"/>
      <c r="MB435" s="121" t="s">
        <v>638</v>
      </c>
      <c r="MC435" s="122"/>
      <c r="MD435" s="123"/>
    </row>
    <row r="436" spans="338:342">
      <c r="LZ436" s="120">
        <v>3368</v>
      </c>
      <c r="MA436" s="121" t="s">
        <v>405</v>
      </c>
      <c r="MB436" s="121" t="s">
        <v>639</v>
      </c>
      <c r="MC436" s="122" t="s">
        <v>640</v>
      </c>
      <c r="MD436" s="123"/>
    </row>
    <row r="437" spans="338:342">
      <c r="LZ437" s="123"/>
      <c r="MA437" s="121"/>
      <c r="MB437" s="121" t="s">
        <v>641</v>
      </c>
      <c r="MC437" s="122"/>
      <c r="MD437" s="123"/>
    </row>
    <row r="438" spans="338:342">
      <c r="LZ438" s="120">
        <v>3369</v>
      </c>
      <c r="MA438" s="121" t="s">
        <v>405</v>
      </c>
      <c r="MB438" s="121" t="s">
        <v>642</v>
      </c>
      <c r="MC438" s="122" t="s">
        <v>643</v>
      </c>
      <c r="MD438" s="123"/>
    </row>
    <row r="439" spans="338:342">
      <c r="LZ439" s="123"/>
      <c r="MA439" s="121"/>
      <c r="MB439" s="121" t="s">
        <v>644</v>
      </c>
      <c r="MC439" s="122"/>
      <c r="MD439" s="123"/>
    </row>
    <row r="440" spans="338:342">
      <c r="LZ440" s="120">
        <v>3370</v>
      </c>
      <c r="MA440" s="121" t="s">
        <v>405</v>
      </c>
      <c r="MB440" s="121" t="s">
        <v>645</v>
      </c>
      <c r="MC440" s="122" t="s">
        <v>646</v>
      </c>
      <c r="MD440" s="123"/>
    </row>
    <row r="441" spans="338:342">
      <c r="LZ441" s="123"/>
      <c r="MA441" s="121"/>
      <c r="MB441" s="121" t="s">
        <v>647</v>
      </c>
      <c r="MC441" s="122"/>
      <c r="MD441" s="123"/>
    </row>
    <row r="442" spans="338:342">
      <c r="LZ442" s="120">
        <v>3371</v>
      </c>
      <c r="MA442" s="121" t="s">
        <v>405</v>
      </c>
      <c r="MB442" s="121" t="s">
        <v>648</v>
      </c>
      <c r="MC442" s="122" t="s">
        <v>649</v>
      </c>
      <c r="MD442" s="123"/>
    </row>
    <row r="443" spans="338:342">
      <c r="LZ443" s="123"/>
      <c r="MA443" s="121"/>
      <c r="MB443" s="121" t="s">
        <v>650</v>
      </c>
      <c r="MC443" s="122"/>
      <c r="MD443" s="123"/>
    </row>
    <row r="444" spans="338:342">
      <c r="LZ444" s="120">
        <v>3372</v>
      </c>
      <c r="MA444" s="121" t="s">
        <v>405</v>
      </c>
      <c r="MB444" s="121" t="s">
        <v>651</v>
      </c>
      <c r="MC444" s="122" t="s">
        <v>613</v>
      </c>
      <c r="MD444" s="123"/>
    </row>
    <row r="445" spans="338:342">
      <c r="LZ445" s="123"/>
      <c r="MA445" s="121"/>
      <c r="MB445" s="121" t="s">
        <v>652</v>
      </c>
      <c r="MC445" s="122"/>
      <c r="MD445" s="123"/>
    </row>
    <row r="446" spans="338:342" ht="20.399999999999999">
      <c r="LZ446" s="120">
        <v>3373</v>
      </c>
      <c r="MA446" s="121" t="s">
        <v>405</v>
      </c>
      <c r="MB446" s="125" t="s">
        <v>653</v>
      </c>
      <c r="MC446" s="122" t="s">
        <v>592</v>
      </c>
      <c r="MD446" s="123"/>
    </row>
    <row r="447" spans="338:342">
      <c r="LZ447" s="120">
        <v>3374</v>
      </c>
      <c r="MA447" s="121" t="s">
        <v>405</v>
      </c>
      <c r="MB447" s="121" t="s">
        <v>654</v>
      </c>
      <c r="MC447" s="122" t="s">
        <v>618</v>
      </c>
      <c r="MD447" s="123"/>
    </row>
    <row r="448" spans="338:342">
      <c r="LZ448" s="120">
        <v>3375</v>
      </c>
      <c r="MA448" s="121" t="s">
        <v>405</v>
      </c>
      <c r="MB448" s="121" t="s">
        <v>655</v>
      </c>
      <c r="MC448" s="122" t="s">
        <v>656</v>
      </c>
      <c r="MD448" s="123"/>
    </row>
    <row r="449" spans="338:342">
      <c r="LZ449" s="123"/>
      <c r="MA449" s="121"/>
      <c r="MB449" s="121" t="s">
        <v>657</v>
      </c>
      <c r="MC449" s="122"/>
      <c r="MD449" s="123"/>
    </row>
    <row r="450" spans="338:342">
      <c r="LZ450" s="120">
        <v>3376</v>
      </c>
      <c r="MA450" s="121" t="s">
        <v>405</v>
      </c>
      <c r="MB450" s="121" t="s">
        <v>658</v>
      </c>
      <c r="MC450" s="122" t="s">
        <v>659</v>
      </c>
      <c r="MD450" s="123"/>
    </row>
    <row r="451" spans="338:342">
      <c r="LZ451" s="123"/>
      <c r="MA451" s="121"/>
      <c r="MB451" s="121" t="s">
        <v>660</v>
      </c>
      <c r="MC451" s="122"/>
      <c r="MD451" s="123"/>
    </row>
    <row r="452" spans="338:342">
      <c r="LZ452" s="120">
        <v>3377</v>
      </c>
      <c r="MA452" s="121" t="s">
        <v>405</v>
      </c>
      <c r="MB452" s="121" t="s">
        <v>661</v>
      </c>
      <c r="MC452" s="122" t="s">
        <v>662</v>
      </c>
      <c r="MD452" s="123"/>
    </row>
    <row r="453" spans="338:342">
      <c r="LZ453" s="123"/>
      <c r="MA453" s="121"/>
      <c r="MB453" s="121" t="s">
        <v>663</v>
      </c>
      <c r="MC453" s="122"/>
      <c r="MD453" s="123"/>
    </row>
    <row r="454" spans="338:342">
      <c r="LZ454" s="120">
        <v>3380</v>
      </c>
      <c r="MA454" s="121" t="s">
        <v>196</v>
      </c>
      <c r="MB454" s="121" t="s">
        <v>664</v>
      </c>
      <c r="MC454" s="122" t="s">
        <v>524</v>
      </c>
      <c r="MD454" s="123"/>
    </row>
    <row r="455" spans="338:342" ht="20.399999999999999">
      <c r="LZ455" s="123"/>
      <c r="MA455" s="121"/>
      <c r="MB455" s="121" t="s">
        <v>665</v>
      </c>
      <c r="MC455" s="122"/>
      <c r="MD455" s="123"/>
    </row>
    <row r="456" spans="338:342">
      <c r="LZ456" s="120">
        <v>3381</v>
      </c>
      <c r="MA456" s="121" t="s">
        <v>196</v>
      </c>
      <c r="MB456" s="121" t="s">
        <v>666</v>
      </c>
      <c r="MC456" s="122" t="s">
        <v>667</v>
      </c>
      <c r="MD456" s="123"/>
    </row>
    <row r="457" spans="338:342">
      <c r="LZ457" s="123"/>
      <c r="MA457" s="121"/>
      <c r="MB457" s="121" t="s">
        <v>668</v>
      </c>
      <c r="MC457" s="122"/>
      <c r="MD457" s="123"/>
    </row>
    <row r="458" spans="338:342">
      <c r="LZ458" s="120">
        <v>3382</v>
      </c>
      <c r="MA458" s="121" t="s">
        <v>196</v>
      </c>
      <c r="MB458" s="121" t="s">
        <v>669</v>
      </c>
      <c r="MC458" s="122" t="s">
        <v>670</v>
      </c>
      <c r="MD458" s="123"/>
    </row>
    <row r="459" spans="338:342">
      <c r="LZ459" s="123"/>
      <c r="MA459" s="121"/>
      <c r="MB459" s="121" t="s">
        <v>668</v>
      </c>
      <c r="MC459" s="122"/>
      <c r="MD459" s="123"/>
    </row>
    <row r="460" spans="338:342">
      <c r="LZ460" s="120">
        <v>3383</v>
      </c>
      <c r="MA460" s="121" t="s">
        <v>196</v>
      </c>
      <c r="MB460" s="121" t="s">
        <v>671</v>
      </c>
      <c r="MC460" s="122" t="s">
        <v>223</v>
      </c>
      <c r="MD460" s="123"/>
    </row>
    <row r="461" spans="338:342">
      <c r="LZ461" s="123"/>
      <c r="MA461" s="121"/>
      <c r="MB461" s="121" t="s">
        <v>668</v>
      </c>
      <c r="MC461" s="122"/>
      <c r="MD461" s="123"/>
    </row>
    <row r="462" spans="338:342">
      <c r="LZ462" s="120">
        <v>3384</v>
      </c>
      <c r="MA462" s="121" t="s">
        <v>196</v>
      </c>
      <c r="MB462" s="121" t="s">
        <v>672</v>
      </c>
      <c r="MC462" s="122" t="s">
        <v>673</v>
      </c>
      <c r="MD462" s="123"/>
    </row>
    <row r="463" spans="338:342">
      <c r="LZ463" s="123"/>
      <c r="MA463" s="121"/>
      <c r="MB463" s="121" t="s">
        <v>668</v>
      </c>
      <c r="MC463" s="122"/>
      <c r="MD463" s="123"/>
    </row>
    <row r="464" spans="338:342">
      <c r="LZ464" s="120">
        <v>3385</v>
      </c>
      <c r="MA464" s="121" t="s">
        <v>196</v>
      </c>
      <c r="MB464" s="121" t="s">
        <v>674</v>
      </c>
      <c r="MC464" s="122" t="s">
        <v>675</v>
      </c>
      <c r="MD464" s="123"/>
    </row>
    <row r="465" spans="338:342">
      <c r="LZ465" s="123"/>
      <c r="MA465" s="121"/>
      <c r="MB465" s="121" t="s">
        <v>668</v>
      </c>
      <c r="MC465" s="122"/>
      <c r="MD465" s="123"/>
    </row>
    <row r="466" spans="338:342">
      <c r="LZ466" s="120">
        <v>3386</v>
      </c>
      <c r="MA466" s="121" t="s">
        <v>196</v>
      </c>
      <c r="MB466" s="121" t="s">
        <v>676</v>
      </c>
      <c r="MC466" s="122" t="s">
        <v>677</v>
      </c>
      <c r="MD466" s="123"/>
    </row>
    <row r="467" spans="338:342">
      <c r="LZ467" s="123"/>
      <c r="MA467" s="121"/>
      <c r="MB467" s="121" t="s">
        <v>668</v>
      </c>
      <c r="MC467" s="122"/>
      <c r="MD467" s="123"/>
    </row>
    <row r="468" spans="338:342">
      <c r="LZ468" s="120">
        <v>3387</v>
      </c>
      <c r="MA468" s="121" t="s">
        <v>196</v>
      </c>
      <c r="MB468" s="121" t="s">
        <v>678</v>
      </c>
      <c r="MC468" s="122" t="s">
        <v>679</v>
      </c>
      <c r="MD468" s="123"/>
    </row>
    <row r="469" spans="338:342">
      <c r="LZ469" s="123"/>
      <c r="MA469" s="121"/>
      <c r="MB469" s="121" t="s">
        <v>668</v>
      </c>
      <c r="MC469" s="122"/>
      <c r="MD469" s="123"/>
    </row>
    <row r="470" spans="338:342">
      <c r="LZ470" s="120">
        <v>3390</v>
      </c>
      <c r="MA470" s="121" t="s">
        <v>395</v>
      </c>
      <c r="MB470" s="121" t="s">
        <v>680</v>
      </c>
      <c r="MC470" s="122" t="s">
        <v>414</v>
      </c>
      <c r="MD470" s="123"/>
    </row>
    <row r="471" spans="338:342" ht="20.399999999999999">
      <c r="LZ471" s="123"/>
      <c r="MA471" s="121"/>
      <c r="MB471" s="121" t="s">
        <v>681</v>
      </c>
      <c r="MC471" s="122"/>
      <c r="MD471" s="123"/>
    </row>
    <row r="472" spans="338:342">
      <c r="LZ472" s="120">
        <v>3400</v>
      </c>
      <c r="MA472" s="121" t="s">
        <v>299</v>
      </c>
      <c r="MB472" s="121" t="s">
        <v>682</v>
      </c>
      <c r="MC472" s="122" t="s">
        <v>683</v>
      </c>
      <c r="MD472" s="123"/>
    </row>
    <row r="473" spans="338:342">
      <c r="LZ473" s="123"/>
      <c r="MA473" s="121"/>
      <c r="MB473" s="121" t="s">
        <v>684</v>
      </c>
      <c r="MC473" s="122"/>
      <c r="MD473" s="123"/>
    </row>
    <row r="474" spans="338:342">
      <c r="LZ474" s="120">
        <v>3410</v>
      </c>
      <c r="MA474" s="121" t="s">
        <v>405</v>
      </c>
      <c r="MB474" s="121" t="s">
        <v>685</v>
      </c>
      <c r="MC474" s="122" t="s">
        <v>538</v>
      </c>
      <c r="MD474" s="123"/>
    </row>
    <row r="475" spans="338:342">
      <c r="LZ475" s="123"/>
      <c r="MA475" s="121"/>
      <c r="MB475" s="121" t="s">
        <v>686</v>
      </c>
      <c r="MC475" s="122"/>
      <c r="MD475" s="123"/>
    </row>
    <row r="476" spans="338:342">
      <c r="LZ476" s="120">
        <v>3411</v>
      </c>
      <c r="MA476" s="121" t="s">
        <v>405</v>
      </c>
      <c r="MB476" s="121" t="s">
        <v>687</v>
      </c>
      <c r="MC476" s="122" t="s">
        <v>166</v>
      </c>
      <c r="MD476" s="123"/>
    </row>
    <row r="477" spans="338:342">
      <c r="LZ477" s="123"/>
      <c r="MA477" s="121"/>
      <c r="MB477" s="121" t="s">
        <v>688</v>
      </c>
      <c r="MC477" s="122"/>
      <c r="MD477" s="123"/>
    </row>
    <row r="478" spans="338:342">
      <c r="LZ478" s="120">
        <v>3510</v>
      </c>
      <c r="MA478" s="121" t="s">
        <v>140</v>
      </c>
      <c r="MB478" s="121" t="s">
        <v>689</v>
      </c>
      <c r="MC478" s="122" t="s">
        <v>142</v>
      </c>
      <c r="MD478" s="123"/>
    </row>
    <row r="479" spans="338:342">
      <c r="LZ479" s="123"/>
      <c r="MA479" s="121"/>
      <c r="MB479" s="121" t="s">
        <v>690</v>
      </c>
      <c r="MC479" s="122"/>
      <c r="MD479" s="123"/>
    </row>
    <row r="480" spans="338:342">
      <c r="LZ480" s="120">
        <v>3520</v>
      </c>
      <c r="MA480" s="121" t="s">
        <v>140</v>
      </c>
      <c r="MB480" s="121" t="s">
        <v>691</v>
      </c>
      <c r="MC480" s="122" t="s">
        <v>142</v>
      </c>
      <c r="MD480" s="123"/>
    </row>
    <row r="481" spans="338:342">
      <c r="LZ481" s="123"/>
      <c r="MA481" s="121"/>
      <c r="MB481" s="121" t="s">
        <v>692</v>
      </c>
      <c r="MC481" s="122"/>
      <c r="MD481" s="123"/>
    </row>
    <row r="482" spans="338:342">
      <c r="LZ482" s="120">
        <v>3910</v>
      </c>
      <c r="MA482" s="121" t="s">
        <v>140</v>
      </c>
      <c r="MB482" s="121" t="s">
        <v>693</v>
      </c>
      <c r="MC482" s="122" t="s">
        <v>142</v>
      </c>
      <c r="MD482" s="123"/>
    </row>
    <row r="483" spans="338:342">
      <c r="LZ483" s="123"/>
      <c r="MA483" s="121"/>
      <c r="MB483" s="121" t="s">
        <v>694</v>
      </c>
      <c r="MC483" s="122"/>
      <c r="MD483" s="123"/>
    </row>
    <row r="484" spans="338:342">
      <c r="LZ484" s="120">
        <v>4010</v>
      </c>
      <c r="MA484" s="121" t="s">
        <v>695</v>
      </c>
      <c r="MB484" s="121" t="s">
        <v>696</v>
      </c>
      <c r="MC484" s="122" t="s">
        <v>697</v>
      </c>
      <c r="MD484" s="123"/>
    </row>
    <row r="485" spans="338:342" ht="30.6">
      <c r="LZ485" s="123"/>
      <c r="MA485" s="121"/>
      <c r="MB485" s="121" t="s">
        <v>698</v>
      </c>
      <c r="MC485" s="122"/>
      <c r="MD485" s="123"/>
    </row>
    <row r="486" spans="338:342">
      <c r="LZ486" s="120">
        <v>4011</v>
      </c>
      <c r="MA486" s="121" t="s">
        <v>395</v>
      </c>
      <c r="MB486" s="121" t="s">
        <v>699</v>
      </c>
      <c r="MC486" s="122" t="s">
        <v>700</v>
      </c>
      <c r="MD486" s="123"/>
    </row>
    <row r="487" spans="338:342" ht="20.399999999999999">
      <c r="LZ487" s="123"/>
      <c r="MA487" s="121"/>
      <c r="MB487" s="121" t="s">
        <v>701</v>
      </c>
      <c r="MC487" s="122"/>
      <c r="MD487" s="123"/>
    </row>
    <row r="488" spans="338:342">
      <c r="LZ488" s="120">
        <v>4020</v>
      </c>
      <c r="MA488" s="121" t="s">
        <v>162</v>
      </c>
      <c r="MB488" s="121" t="s">
        <v>372</v>
      </c>
      <c r="MC488" s="122" t="s">
        <v>373</v>
      </c>
      <c r="MD488" s="123"/>
    </row>
    <row r="489" spans="338:342">
      <c r="LZ489" s="123"/>
      <c r="MA489" s="121"/>
      <c r="MB489" s="121" t="s">
        <v>702</v>
      </c>
      <c r="MC489" s="122"/>
      <c r="MD489" s="123"/>
    </row>
    <row r="490" spans="338:342">
      <c r="LZ490" s="120">
        <v>4021</v>
      </c>
      <c r="MA490" s="121" t="s">
        <v>162</v>
      </c>
      <c r="MB490" s="121" t="s">
        <v>703</v>
      </c>
      <c r="MC490" s="122" t="s">
        <v>704</v>
      </c>
      <c r="MD490" s="123"/>
    </row>
    <row r="491" spans="338:342">
      <c r="LZ491" s="123"/>
      <c r="MA491" s="121"/>
      <c r="MB491" s="121" t="s">
        <v>705</v>
      </c>
      <c r="MC491" s="122"/>
      <c r="MD491" s="123"/>
    </row>
    <row r="492" spans="338:342" ht="30.6">
      <c r="LZ492" s="120">
        <v>4030</v>
      </c>
      <c r="MA492" s="121" t="s">
        <v>162</v>
      </c>
      <c r="MB492" s="125" t="s">
        <v>706</v>
      </c>
      <c r="MC492" s="122" t="s">
        <v>707</v>
      </c>
      <c r="MD492" s="123"/>
    </row>
    <row r="493" spans="338:342" ht="20.399999999999999">
      <c r="LZ493" s="120">
        <v>4040</v>
      </c>
      <c r="MA493" s="121" t="s">
        <v>162</v>
      </c>
      <c r="MB493" s="121" t="s">
        <v>708</v>
      </c>
      <c r="MC493" s="122" t="s">
        <v>709</v>
      </c>
      <c r="MD493" s="123"/>
    </row>
    <row r="494" spans="338:342">
      <c r="LZ494" s="123"/>
      <c r="MA494" s="121"/>
      <c r="MB494" s="121" t="s">
        <v>710</v>
      </c>
      <c r="MC494" s="122"/>
      <c r="MD494" s="123"/>
    </row>
    <row r="495" spans="338:342">
      <c r="LZ495" s="123"/>
      <c r="MA495" s="121"/>
      <c r="MB495" s="121" t="s">
        <v>711</v>
      </c>
      <c r="MC495" s="122"/>
      <c r="MD495" s="123"/>
    </row>
    <row r="496" spans="338:342">
      <c r="LZ496" s="120">
        <v>4050</v>
      </c>
      <c r="MA496" s="121" t="s">
        <v>162</v>
      </c>
      <c r="MB496" s="121" t="s">
        <v>712</v>
      </c>
      <c r="MC496" s="122" t="s">
        <v>524</v>
      </c>
      <c r="MD496" s="123"/>
    </row>
    <row r="497" spans="338:342">
      <c r="LZ497" s="123"/>
      <c r="MA497" s="121"/>
      <c r="MB497" s="121" t="s">
        <v>713</v>
      </c>
      <c r="MC497" s="122"/>
      <c r="MD497" s="123"/>
    </row>
    <row r="498" spans="338:342">
      <c r="LZ498" s="123"/>
      <c r="MA498" s="121"/>
      <c r="MB498" s="121" t="s">
        <v>714</v>
      </c>
      <c r="MC498" s="122"/>
      <c r="MD498" s="123"/>
    </row>
    <row r="499" spans="338:342">
      <c r="LZ499" s="120">
        <v>4060</v>
      </c>
      <c r="MA499" s="121" t="s">
        <v>162</v>
      </c>
      <c r="MB499" s="121" t="s">
        <v>715</v>
      </c>
      <c r="MC499" s="122" t="s">
        <v>466</v>
      </c>
      <c r="MD499" s="123"/>
    </row>
    <row r="500" spans="338:342">
      <c r="LZ500" s="123"/>
      <c r="MA500" s="121"/>
      <c r="MB500" s="121" t="s">
        <v>716</v>
      </c>
      <c r="MC500" s="122"/>
      <c r="MD500" s="123"/>
    </row>
    <row r="501" spans="338:342">
      <c r="LZ501" s="120">
        <v>4070</v>
      </c>
      <c r="MA501" s="121" t="s">
        <v>162</v>
      </c>
      <c r="MB501" s="121" t="s">
        <v>717</v>
      </c>
      <c r="MC501" s="122" t="s">
        <v>509</v>
      </c>
      <c r="MD501" s="123"/>
    </row>
    <row r="502" spans="338:342">
      <c r="LZ502" s="123"/>
      <c r="MA502" s="121"/>
      <c r="MB502" s="121" t="s">
        <v>718</v>
      </c>
      <c r="MC502" s="122"/>
      <c r="MD502" s="123"/>
    </row>
    <row r="503" spans="338:342">
      <c r="LZ503" s="123"/>
      <c r="MA503" s="121"/>
      <c r="MB503" s="121" t="s">
        <v>719</v>
      </c>
      <c r="MC503" s="122"/>
      <c r="MD503" s="123"/>
    </row>
    <row r="504" spans="338:342">
      <c r="LZ504" s="123"/>
      <c r="MA504" s="121"/>
      <c r="MB504" s="121" t="s">
        <v>720</v>
      </c>
      <c r="MC504" s="122"/>
      <c r="MD504" s="123"/>
    </row>
    <row r="505" spans="338:342">
      <c r="LZ505" s="120">
        <v>4080</v>
      </c>
      <c r="MA505" s="121" t="s">
        <v>162</v>
      </c>
      <c r="MB505" s="121" t="s">
        <v>721</v>
      </c>
      <c r="MC505" s="122" t="s">
        <v>515</v>
      </c>
      <c r="MD505" s="123"/>
    </row>
    <row r="506" spans="338:342">
      <c r="LZ506" s="123"/>
      <c r="MA506" s="121"/>
      <c r="MB506" s="121" t="s">
        <v>722</v>
      </c>
      <c r="MC506" s="122"/>
      <c r="MD506" s="123"/>
    </row>
    <row r="507" spans="338:342">
      <c r="LZ507" s="120">
        <v>4081</v>
      </c>
      <c r="MA507" s="121" t="s">
        <v>162</v>
      </c>
      <c r="MB507" s="121" t="s">
        <v>723</v>
      </c>
      <c r="MC507" s="122" t="s">
        <v>724</v>
      </c>
      <c r="MD507" s="123"/>
    </row>
    <row r="508" spans="338:342">
      <c r="LZ508" s="123"/>
      <c r="MA508" s="121"/>
      <c r="MB508" s="121" t="s">
        <v>725</v>
      </c>
      <c r="MC508" s="122"/>
      <c r="MD508" s="123"/>
    </row>
    <row r="509" spans="338:342">
      <c r="LZ509" s="123"/>
      <c r="MA509" s="121"/>
      <c r="MB509" s="121" t="s">
        <v>726</v>
      </c>
      <c r="MC509" s="122"/>
      <c r="MD509" s="123"/>
    </row>
    <row r="510" spans="338:342">
      <c r="LZ510" s="120">
        <v>4090</v>
      </c>
      <c r="MA510" s="121" t="s">
        <v>162</v>
      </c>
      <c r="MB510" s="121" t="s">
        <v>727</v>
      </c>
      <c r="MC510" s="122" t="s">
        <v>193</v>
      </c>
      <c r="MD510" s="123"/>
    </row>
    <row r="511" spans="338:342">
      <c r="LZ511" s="123"/>
      <c r="MA511" s="121"/>
      <c r="MB511" s="121" t="s">
        <v>728</v>
      </c>
      <c r="MC511" s="122"/>
      <c r="MD511" s="123"/>
    </row>
    <row r="512" spans="338:342">
      <c r="LZ512" s="123"/>
      <c r="MA512" s="121"/>
      <c r="MB512" s="121" t="s">
        <v>729</v>
      </c>
      <c r="MC512" s="122"/>
      <c r="MD512" s="123"/>
    </row>
    <row r="513" spans="338:342">
      <c r="LZ513" s="120">
        <v>4100</v>
      </c>
      <c r="MA513" s="121" t="s">
        <v>162</v>
      </c>
      <c r="MB513" s="121" t="s">
        <v>730</v>
      </c>
      <c r="MC513" s="122" t="s">
        <v>731</v>
      </c>
      <c r="MD513" s="123"/>
    </row>
    <row r="514" spans="338:342">
      <c r="LZ514" s="123"/>
      <c r="MA514" s="121"/>
      <c r="MB514" s="121" t="s">
        <v>732</v>
      </c>
      <c r="MC514" s="122"/>
      <c r="MD514" s="123"/>
    </row>
    <row r="515" spans="338:342">
      <c r="LZ515" s="123"/>
      <c r="MA515" s="121"/>
      <c r="MB515" s="121" t="s">
        <v>733</v>
      </c>
      <c r="MC515" s="122"/>
      <c r="MD515" s="123"/>
    </row>
    <row r="516" spans="338:342">
      <c r="LZ516" s="123"/>
      <c r="MA516" s="121"/>
      <c r="MB516" s="121" t="s">
        <v>734</v>
      </c>
      <c r="MC516" s="122"/>
      <c r="MD516" s="123"/>
    </row>
    <row r="517" spans="338:342">
      <c r="LZ517" s="120">
        <v>4101</v>
      </c>
      <c r="MA517" s="121" t="s">
        <v>162</v>
      </c>
      <c r="MB517" s="121" t="s">
        <v>735</v>
      </c>
      <c r="MC517" s="122" t="s">
        <v>164</v>
      </c>
      <c r="MD517" s="123"/>
    </row>
    <row r="518" spans="338:342">
      <c r="LZ518" s="123"/>
      <c r="MA518" s="121"/>
      <c r="MB518" s="121" t="s">
        <v>736</v>
      </c>
      <c r="MC518" s="122"/>
      <c r="MD518" s="123"/>
    </row>
    <row r="519" spans="338:342">
      <c r="LZ519" s="120">
        <v>4110</v>
      </c>
      <c r="MA519" s="121" t="s">
        <v>162</v>
      </c>
      <c r="MB519" s="121" t="s">
        <v>737</v>
      </c>
      <c r="MC519" s="122" t="s">
        <v>738</v>
      </c>
      <c r="MD519" s="123"/>
    </row>
    <row r="520" spans="338:342">
      <c r="LZ520" s="123"/>
      <c r="MA520" s="121"/>
      <c r="MB520" s="121" t="s">
        <v>739</v>
      </c>
      <c r="MC520" s="122"/>
      <c r="MD520" s="123"/>
    </row>
    <row r="521" spans="338:342">
      <c r="LZ521" s="123"/>
      <c r="MA521" s="121"/>
      <c r="MB521" s="121" t="s">
        <v>740</v>
      </c>
      <c r="MC521" s="122"/>
      <c r="MD521" s="123"/>
    </row>
    <row r="522" spans="338:342">
      <c r="LZ522" s="120">
        <v>4120</v>
      </c>
      <c r="MA522" s="121" t="s">
        <v>162</v>
      </c>
      <c r="MB522" s="121" t="s">
        <v>741</v>
      </c>
      <c r="MC522" s="122" t="s">
        <v>742</v>
      </c>
      <c r="MD522" s="123"/>
    </row>
    <row r="523" spans="338:342">
      <c r="LZ523" s="123"/>
      <c r="MA523" s="121"/>
      <c r="MB523" s="121" t="s">
        <v>743</v>
      </c>
      <c r="MC523" s="122"/>
      <c r="MD523" s="123"/>
    </row>
    <row r="524" spans="338:342">
      <c r="LZ524" s="123"/>
      <c r="MA524" s="121"/>
      <c r="MB524" s="121" t="s">
        <v>744</v>
      </c>
      <c r="MC524" s="122"/>
      <c r="MD524" s="123"/>
    </row>
    <row r="525" spans="338:342">
      <c r="LZ525" s="123"/>
      <c r="MA525" s="121"/>
      <c r="MB525" s="121" t="s">
        <v>745</v>
      </c>
      <c r="MC525" s="122"/>
      <c r="MD525" s="123"/>
    </row>
    <row r="526" spans="338:342">
      <c r="LZ526" s="120">
        <v>4130</v>
      </c>
      <c r="MA526" s="121" t="s">
        <v>395</v>
      </c>
      <c r="MB526" s="121" t="s">
        <v>746</v>
      </c>
      <c r="MC526" s="122" t="s">
        <v>747</v>
      </c>
      <c r="MD526" s="123"/>
    </row>
    <row r="527" spans="338:342">
      <c r="LZ527" s="123"/>
      <c r="MA527" s="121"/>
      <c r="MB527" s="121" t="s">
        <v>748</v>
      </c>
      <c r="MC527" s="122"/>
      <c r="MD527" s="123"/>
    </row>
    <row r="528" spans="338:342">
      <c r="LZ528" s="120">
        <v>4140</v>
      </c>
      <c r="MA528" s="121" t="s">
        <v>147</v>
      </c>
      <c r="MB528" s="121" t="s">
        <v>749</v>
      </c>
      <c r="MC528" s="122" t="s">
        <v>358</v>
      </c>
      <c r="MD528" s="123"/>
    </row>
    <row r="529" spans="338:342">
      <c r="LZ529" s="123"/>
      <c r="MA529" s="121"/>
      <c r="MB529" s="121" t="s">
        <v>750</v>
      </c>
      <c r="MC529" s="122"/>
      <c r="MD529" s="123"/>
    </row>
    <row r="530" spans="338:342">
      <c r="LZ530" s="123"/>
      <c r="MA530" s="121"/>
      <c r="MB530" s="121" t="s">
        <v>751</v>
      </c>
      <c r="MC530" s="122"/>
      <c r="MD530" s="123"/>
    </row>
    <row r="531" spans="338:342">
      <c r="LZ531" s="120">
        <v>4141</v>
      </c>
      <c r="MA531" s="121" t="s">
        <v>162</v>
      </c>
      <c r="MB531" s="121" t="s">
        <v>749</v>
      </c>
      <c r="MC531" s="122" t="s">
        <v>595</v>
      </c>
      <c r="MD531" s="123"/>
    </row>
    <row r="532" spans="338:342">
      <c r="LZ532" s="123"/>
      <c r="MA532" s="121"/>
      <c r="MB532" s="121" t="s">
        <v>752</v>
      </c>
      <c r="MC532" s="122"/>
      <c r="MD532" s="123"/>
    </row>
    <row r="533" spans="338:342">
      <c r="LZ533" s="120">
        <v>4150</v>
      </c>
      <c r="MA533" s="121" t="s">
        <v>405</v>
      </c>
      <c r="MB533" s="121" t="s">
        <v>753</v>
      </c>
      <c r="MC533" s="122" t="s">
        <v>304</v>
      </c>
      <c r="MD533" s="123"/>
    </row>
    <row r="534" spans="338:342">
      <c r="LZ534" s="123"/>
      <c r="MA534" s="121"/>
      <c r="MB534" s="121" t="s">
        <v>754</v>
      </c>
      <c r="MC534" s="122"/>
      <c r="MD534" s="123"/>
    </row>
    <row r="535" spans="338:342">
      <c r="LZ535" s="123"/>
      <c r="MA535" s="121"/>
      <c r="MB535" s="121" t="s">
        <v>755</v>
      </c>
      <c r="MC535" s="122"/>
      <c r="MD535" s="123"/>
    </row>
    <row r="536" spans="338:342">
      <c r="LZ536" s="120">
        <v>5010</v>
      </c>
      <c r="MA536" s="121" t="s">
        <v>299</v>
      </c>
      <c r="MB536" s="121" t="s">
        <v>756</v>
      </c>
      <c r="MC536" s="122" t="s">
        <v>757</v>
      </c>
      <c r="MD536" s="123"/>
    </row>
    <row r="537" spans="338:342">
      <c r="LZ537" s="123"/>
      <c r="MA537" s="121"/>
      <c r="MB537" s="121" t="s">
        <v>758</v>
      </c>
      <c r="MC537" s="122"/>
      <c r="MD537" s="123"/>
    </row>
    <row r="538" spans="338:342">
      <c r="LZ538" s="123"/>
      <c r="MA538" s="121"/>
      <c r="MB538" s="121" t="s">
        <v>759</v>
      </c>
      <c r="MC538" s="122"/>
      <c r="MD538" s="123"/>
    </row>
    <row r="539" spans="338:342">
      <c r="LZ539" s="120">
        <v>5020</v>
      </c>
      <c r="MA539" s="121" t="s">
        <v>299</v>
      </c>
      <c r="MB539" s="121" t="s">
        <v>760</v>
      </c>
      <c r="MC539" s="122" t="s">
        <v>761</v>
      </c>
      <c r="MD539" s="123"/>
    </row>
    <row r="540" spans="338:342">
      <c r="LZ540" s="123"/>
      <c r="MA540" s="121"/>
      <c r="MB540" s="121" t="s">
        <v>762</v>
      </c>
      <c r="MC540" s="122"/>
      <c r="MD540" s="123"/>
    </row>
    <row r="541" spans="338:342">
      <c r="LZ541" s="120">
        <v>5030</v>
      </c>
      <c r="MA541" s="121" t="s">
        <v>395</v>
      </c>
      <c r="MB541" s="121" t="s">
        <v>763</v>
      </c>
      <c r="MC541" s="122" t="s">
        <v>226</v>
      </c>
      <c r="MD541" s="123"/>
    </row>
    <row r="542" spans="338:342">
      <c r="LZ542" s="123"/>
      <c r="MA542" s="121"/>
      <c r="MB542" s="121" t="s">
        <v>764</v>
      </c>
      <c r="MC542" s="122"/>
      <c r="MD542" s="123"/>
    </row>
    <row r="543" spans="338:342">
      <c r="LZ543" s="120">
        <v>5040</v>
      </c>
      <c r="MA543" s="121" t="s">
        <v>299</v>
      </c>
      <c r="MB543" s="121" t="s">
        <v>765</v>
      </c>
      <c r="MC543" s="122" t="s">
        <v>418</v>
      </c>
      <c r="MD543" s="123"/>
    </row>
    <row r="544" spans="338:342">
      <c r="LZ544" s="123"/>
      <c r="MA544" s="121"/>
      <c r="MB544" s="121" t="s">
        <v>766</v>
      </c>
      <c r="MC544" s="122"/>
      <c r="MD544" s="123"/>
    </row>
    <row r="545" spans="338:342">
      <c r="LZ545" s="123"/>
      <c r="MA545" s="121"/>
      <c r="MB545" s="121" t="s">
        <v>767</v>
      </c>
      <c r="MC545" s="122"/>
      <c r="MD545" s="123"/>
    </row>
    <row r="546" spans="338:342" ht="20.399999999999999">
      <c r="LZ546" s="120">
        <v>5050</v>
      </c>
      <c r="MA546" s="121" t="s">
        <v>405</v>
      </c>
      <c r="MB546" s="125" t="s">
        <v>768</v>
      </c>
      <c r="MC546" s="122" t="s">
        <v>761</v>
      </c>
      <c r="MD546" s="123"/>
    </row>
    <row r="547" spans="338:342" ht="20.399999999999999">
      <c r="LZ547" s="120">
        <v>5060</v>
      </c>
      <c r="MA547" s="121" t="s">
        <v>299</v>
      </c>
      <c r="MB547" s="121" t="s">
        <v>769</v>
      </c>
      <c r="MC547" s="122" t="s">
        <v>418</v>
      </c>
      <c r="MD547" s="123"/>
    </row>
    <row r="548" spans="338:342">
      <c r="LZ548" s="120">
        <v>5070</v>
      </c>
      <c r="MA548" s="121" t="s">
        <v>770</v>
      </c>
      <c r="MB548" s="121" t="s">
        <v>771</v>
      </c>
      <c r="MC548" s="122" t="s">
        <v>731</v>
      </c>
      <c r="MD548" s="123"/>
    </row>
    <row r="549" spans="338:342">
      <c r="LZ549" s="123"/>
      <c r="MA549" s="121"/>
      <c r="MB549" s="121" t="s">
        <v>772</v>
      </c>
      <c r="MC549" s="122"/>
      <c r="MD549" s="123"/>
    </row>
    <row r="550" spans="338:342">
      <c r="LZ550" s="120">
        <v>5080</v>
      </c>
      <c r="MA550" s="121" t="s">
        <v>770</v>
      </c>
      <c r="MB550" s="121" t="s">
        <v>773</v>
      </c>
      <c r="MC550" s="122" t="s">
        <v>774</v>
      </c>
      <c r="MD550" s="123"/>
    </row>
    <row r="551" spans="338:342">
      <c r="LZ551" s="123"/>
      <c r="MA551" s="121"/>
      <c r="MB551" s="121" t="s">
        <v>775</v>
      </c>
      <c r="MC551" s="122"/>
      <c r="MD551" s="123"/>
    </row>
    <row r="552" spans="338:342">
      <c r="LZ552" s="123"/>
      <c r="MA552" s="121"/>
      <c r="MB552" s="121" t="s">
        <v>776</v>
      </c>
      <c r="MC552" s="122"/>
      <c r="MD552" s="123"/>
    </row>
    <row r="553" spans="338:342">
      <c r="LZ553" s="120">
        <v>5090</v>
      </c>
      <c r="MA553" s="121" t="s">
        <v>405</v>
      </c>
      <c r="MB553" s="121" t="s">
        <v>777</v>
      </c>
      <c r="MC553" s="122" t="s">
        <v>226</v>
      </c>
      <c r="MD553" s="123"/>
    </row>
    <row r="554" spans="338:342">
      <c r="LZ554" s="123"/>
      <c r="MA554" s="121"/>
      <c r="MB554" s="121" t="s">
        <v>778</v>
      </c>
      <c r="MC554" s="122"/>
      <c r="MD554" s="123"/>
    </row>
    <row r="555" spans="338:342">
      <c r="LZ555" s="123"/>
      <c r="MA555" s="121"/>
      <c r="MB555" s="121" t="s">
        <v>779</v>
      </c>
      <c r="MC555" s="122"/>
      <c r="MD555" s="123"/>
    </row>
    <row r="556" spans="338:342">
      <c r="LZ556" s="120">
        <v>5100</v>
      </c>
      <c r="MA556" s="121" t="s">
        <v>299</v>
      </c>
      <c r="MB556" s="121" t="s">
        <v>780</v>
      </c>
      <c r="MC556" s="122" t="s">
        <v>781</v>
      </c>
      <c r="MD556" s="123"/>
    </row>
    <row r="557" spans="338:342">
      <c r="LZ557" s="123"/>
      <c r="MA557" s="121"/>
      <c r="MB557" s="121" t="s">
        <v>782</v>
      </c>
      <c r="MC557" s="122"/>
      <c r="MD557" s="123"/>
    </row>
    <row r="558" spans="338:342">
      <c r="LZ558" s="123"/>
      <c r="MA558" s="121"/>
      <c r="MB558" s="121" t="s">
        <v>783</v>
      </c>
      <c r="MC558" s="122"/>
      <c r="MD558" s="123"/>
    </row>
    <row r="559" spans="338:342">
      <c r="LZ559" s="120">
        <v>5110</v>
      </c>
      <c r="MA559" s="121" t="s">
        <v>299</v>
      </c>
      <c r="MB559" s="121" t="s">
        <v>784</v>
      </c>
      <c r="MC559" s="122" t="s">
        <v>785</v>
      </c>
      <c r="MD559" s="123"/>
    </row>
    <row r="560" spans="338:342">
      <c r="LZ560" s="123"/>
      <c r="MA560" s="121"/>
      <c r="MB560" s="121" t="s">
        <v>786</v>
      </c>
      <c r="MC560" s="122"/>
      <c r="MD560" s="123"/>
    </row>
    <row r="561" spans="338:342">
      <c r="LZ561" s="120">
        <v>5120</v>
      </c>
      <c r="MA561" s="121" t="s">
        <v>395</v>
      </c>
      <c r="MB561" s="121" t="s">
        <v>787</v>
      </c>
      <c r="MC561" s="122" t="s">
        <v>761</v>
      </c>
      <c r="MD561" s="123"/>
    </row>
    <row r="562" spans="338:342">
      <c r="LZ562" s="123"/>
      <c r="MA562" s="121"/>
      <c r="MB562" s="121" t="s">
        <v>788</v>
      </c>
      <c r="MC562" s="122"/>
      <c r="MD562" s="123"/>
    </row>
    <row r="563" spans="338:342">
      <c r="LZ563" s="120">
        <v>5130</v>
      </c>
      <c r="MA563" s="121" t="s">
        <v>196</v>
      </c>
      <c r="MB563" s="121" t="s">
        <v>789</v>
      </c>
      <c r="MC563" s="122" t="s">
        <v>192</v>
      </c>
      <c r="MD563" s="123"/>
    </row>
    <row r="564" spans="338:342">
      <c r="LZ564" s="123"/>
      <c r="MA564" s="121"/>
      <c r="MB564" s="121" t="s">
        <v>790</v>
      </c>
      <c r="MC564" s="122"/>
      <c r="MD564" s="123"/>
    </row>
    <row r="565" spans="338:342">
      <c r="LZ565" s="123"/>
      <c r="MA565" s="121"/>
      <c r="MB565" s="121" t="s">
        <v>791</v>
      </c>
      <c r="MC565" s="122"/>
      <c r="MD565" s="123"/>
    </row>
    <row r="566" spans="338:342">
      <c r="LZ566" s="120">
        <v>5140</v>
      </c>
      <c r="MA566" s="121" t="s">
        <v>196</v>
      </c>
      <c r="MB566" s="121" t="s">
        <v>792</v>
      </c>
      <c r="MC566" s="122" t="s">
        <v>793</v>
      </c>
      <c r="MD566" s="123"/>
    </row>
    <row r="567" spans="338:342">
      <c r="LZ567" s="123"/>
      <c r="MA567" s="121"/>
      <c r="MB567" s="121" t="s">
        <v>794</v>
      </c>
      <c r="MC567" s="122"/>
      <c r="MD567" s="123"/>
    </row>
    <row r="568" spans="338:342">
      <c r="LZ568" s="123"/>
      <c r="MA568" s="121"/>
      <c r="MB568" s="121" t="s">
        <v>795</v>
      </c>
      <c r="MC568" s="122"/>
      <c r="MD568" s="123"/>
    </row>
    <row r="569" spans="338:342" ht="20.399999999999999">
      <c r="LZ569" s="123"/>
      <c r="MA569" s="121"/>
      <c r="MB569" s="121" t="s">
        <v>796</v>
      </c>
      <c r="MC569" s="122"/>
      <c r="MD569" s="123"/>
    </row>
    <row r="570" spans="338:342">
      <c r="LZ570" s="120">
        <v>5141</v>
      </c>
      <c r="MA570" s="121" t="s">
        <v>196</v>
      </c>
      <c r="MB570" s="121" t="s">
        <v>797</v>
      </c>
      <c r="MC570" s="122" t="s">
        <v>798</v>
      </c>
      <c r="MD570" s="123"/>
    </row>
    <row r="571" spans="338:342">
      <c r="LZ571" s="123"/>
      <c r="MA571" s="121"/>
      <c r="MB571" s="121" t="s">
        <v>799</v>
      </c>
      <c r="MC571" s="122"/>
      <c r="MD571" s="123"/>
    </row>
    <row r="572" spans="338:342">
      <c r="LZ572" s="120">
        <v>5142</v>
      </c>
      <c r="MA572" s="121" t="s">
        <v>196</v>
      </c>
      <c r="MB572" s="121" t="s">
        <v>800</v>
      </c>
      <c r="MC572" s="122" t="s">
        <v>801</v>
      </c>
      <c r="MD572" s="123"/>
    </row>
    <row r="573" spans="338:342">
      <c r="LZ573" s="123"/>
      <c r="MA573" s="121"/>
      <c r="MB573" s="121" t="s">
        <v>802</v>
      </c>
      <c r="MC573" s="122"/>
      <c r="MD573" s="123"/>
    </row>
    <row r="574" spans="338:342">
      <c r="LZ574" s="120">
        <v>5143</v>
      </c>
      <c r="MA574" s="121" t="s">
        <v>196</v>
      </c>
      <c r="MB574" s="121" t="s">
        <v>803</v>
      </c>
      <c r="MC574" s="122" t="s">
        <v>804</v>
      </c>
      <c r="MD574" s="123"/>
    </row>
    <row r="575" spans="338:342">
      <c r="LZ575" s="123"/>
      <c r="MA575" s="121"/>
      <c r="MB575" s="121" t="s">
        <v>805</v>
      </c>
      <c r="MC575" s="122"/>
      <c r="MD575" s="123"/>
    </row>
    <row r="576" spans="338:342">
      <c r="LZ576" s="120">
        <v>5144</v>
      </c>
      <c r="MA576" s="121" t="s">
        <v>196</v>
      </c>
      <c r="MB576" s="121" t="s">
        <v>806</v>
      </c>
      <c r="MC576" s="122" t="s">
        <v>677</v>
      </c>
      <c r="MD576" s="123"/>
    </row>
    <row r="577" spans="338:342">
      <c r="LZ577" s="123"/>
      <c r="MA577" s="121"/>
      <c r="MB577" s="121" t="s">
        <v>807</v>
      </c>
      <c r="MC577" s="122"/>
      <c r="MD577" s="123"/>
    </row>
    <row r="578" spans="338:342">
      <c r="LZ578" s="120">
        <v>5150</v>
      </c>
      <c r="MA578" s="121" t="s">
        <v>299</v>
      </c>
      <c r="MB578" s="121" t="s">
        <v>808</v>
      </c>
      <c r="MC578" s="122" t="s">
        <v>414</v>
      </c>
      <c r="MD578" s="123"/>
    </row>
    <row r="579" spans="338:342">
      <c r="LZ579" s="123"/>
      <c r="MA579" s="121"/>
      <c r="MB579" s="121" t="s">
        <v>809</v>
      </c>
      <c r="MC579" s="122"/>
      <c r="MD579" s="123"/>
    </row>
    <row r="580" spans="338:342">
      <c r="LZ580" s="123"/>
      <c r="MA580" s="121"/>
      <c r="MB580" s="121" t="s">
        <v>810</v>
      </c>
      <c r="MC580" s="122"/>
      <c r="MD580" s="123"/>
    </row>
    <row r="581" spans="338:342">
      <c r="LZ581" s="120">
        <v>5160</v>
      </c>
      <c r="MA581" s="121" t="s">
        <v>299</v>
      </c>
      <c r="MB581" s="121" t="s">
        <v>811</v>
      </c>
      <c r="MC581" s="122" t="s">
        <v>237</v>
      </c>
      <c r="MD581" s="123"/>
    </row>
    <row r="582" spans="338:342">
      <c r="LZ582" s="123"/>
      <c r="MA582" s="121"/>
      <c r="MB582" s="121" t="s">
        <v>812</v>
      </c>
      <c r="MC582" s="122"/>
      <c r="MD582" s="123"/>
    </row>
    <row r="583" spans="338:342">
      <c r="LZ583" s="123"/>
      <c r="MA583" s="121"/>
      <c r="MB583" s="121" t="s">
        <v>813</v>
      </c>
      <c r="MC583" s="122"/>
      <c r="MD583" s="123"/>
    </row>
    <row r="584" spans="338:342">
      <c r="LZ584" s="120">
        <v>5170</v>
      </c>
      <c r="MA584" s="121" t="s">
        <v>196</v>
      </c>
      <c r="MB584" s="121" t="s">
        <v>814</v>
      </c>
      <c r="MC584" s="122" t="s">
        <v>193</v>
      </c>
      <c r="MD584" s="123"/>
    </row>
    <row r="585" spans="338:342">
      <c r="LZ585" s="123"/>
      <c r="MA585" s="121"/>
      <c r="MB585" s="121" t="s">
        <v>815</v>
      </c>
      <c r="MC585" s="122"/>
      <c r="MD585" s="123"/>
    </row>
    <row r="586" spans="338:342">
      <c r="LZ586" s="123"/>
      <c r="MA586" s="121"/>
      <c r="MB586" s="121" t="s">
        <v>816</v>
      </c>
      <c r="MC586" s="122"/>
      <c r="MD586" s="123"/>
    </row>
    <row r="587" spans="338:342">
      <c r="LZ587" s="120">
        <v>5171</v>
      </c>
      <c r="MA587" s="121" t="s">
        <v>196</v>
      </c>
      <c r="MB587" s="121" t="s">
        <v>817</v>
      </c>
      <c r="MC587" s="122" t="s">
        <v>818</v>
      </c>
      <c r="MD587" s="123"/>
    </row>
    <row r="588" spans="338:342">
      <c r="LZ588" s="123"/>
      <c r="MA588" s="121"/>
      <c r="MB588" s="121" t="s">
        <v>819</v>
      </c>
      <c r="MC588" s="122"/>
      <c r="MD588" s="123"/>
    </row>
    <row r="589" spans="338:342">
      <c r="LZ589" s="123"/>
      <c r="MA589" s="121"/>
      <c r="MB589" s="121" t="s">
        <v>820</v>
      </c>
      <c r="MC589" s="122"/>
      <c r="MD589" s="123"/>
    </row>
    <row r="590" spans="338:342">
      <c r="LZ590" s="120">
        <v>5172</v>
      </c>
      <c r="MA590" s="121" t="s">
        <v>196</v>
      </c>
      <c r="MB590" s="121" t="s">
        <v>821</v>
      </c>
      <c r="MC590" s="122" t="s">
        <v>679</v>
      </c>
      <c r="MD590" s="123"/>
    </row>
    <row r="591" spans="338:342">
      <c r="LZ591" s="123"/>
      <c r="MA591" s="121"/>
      <c r="MB591" s="121" t="s">
        <v>822</v>
      </c>
      <c r="MC591" s="122"/>
      <c r="MD591" s="123"/>
    </row>
    <row r="592" spans="338:342">
      <c r="LZ592" s="123"/>
      <c r="MA592" s="121"/>
      <c r="MB592" s="121" t="s">
        <v>823</v>
      </c>
      <c r="MC592" s="122"/>
      <c r="MD592" s="123"/>
    </row>
    <row r="593" spans="338:342" ht="51">
      <c r="LZ593" s="120">
        <v>5180</v>
      </c>
      <c r="MA593" s="121" t="s">
        <v>299</v>
      </c>
      <c r="MB593" s="125" t="s">
        <v>824</v>
      </c>
      <c r="MC593" s="122" t="s">
        <v>825</v>
      </c>
      <c r="MD593" s="123"/>
    </row>
    <row r="594" spans="338:342" ht="20.399999999999999">
      <c r="LZ594" s="120">
        <v>5190</v>
      </c>
      <c r="MA594" s="121" t="s">
        <v>299</v>
      </c>
      <c r="MB594" s="121" t="s">
        <v>826</v>
      </c>
      <c r="MC594" s="122" t="s">
        <v>418</v>
      </c>
      <c r="MD594" s="123"/>
    </row>
    <row r="595" spans="338:342">
      <c r="LZ595" s="123"/>
      <c r="MA595" s="121"/>
      <c r="MB595" s="121" t="s">
        <v>827</v>
      </c>
      <c r="MC595" s="122"/>
      <c r="MD595" s="123"/>
    </row>
    <row r="596" spans="338:342">
      <c r="LZ596" s="123"/>
      <c r="MA596" s="121"/>
      <c r="MB596" s="121" t="s">
        <v>828</v>
      </c>
      <c r="MC596" s="122"/>
      <c r="MD596" s="123"/>
    </row>
    <row r="597" spans="338:342">
      <c r="LZ597" s="120">
        <v>5200</v>
      </c>
      <c r="MA597" s="121" t="s">
        <v>299</v>
      </c>
      <c r="MB597" s="121" t="s">
        <v>829</v>
      </c>
      <c r="MC597" s="122" t="s">
        <v>358</v>
      </c>
      <c r="MD597" s="123"/>
    </row>
    <row r="598" spans="338:342">
      <c r="LZ598" s="123"/>
      <c r="MA598" s="121"/>
      <c r="MB598" s="121" t="s">
        <v>830</v>
      </c>
      <c r="MC598" s="122"/>
      <c r="MD598" s="123"/>
    </row>
    <row r="599" spans="338:342">
      <c r="LZ599" s="123"/>
      <c r="MA599" s="121"/>
      <c r="MB599" s="121" t="s">
        <v>831</v>
      </c>
      <c r="MC599" s="122"/>
      <c r="MD599" s="123"/>
    </row>
    <row r="600" spans="338:342">
      <c r="LZ600" s="120">
        <v>5210</v>
      </c>
      <c r="MA600" s="121" t="s">
        <v>395</v>
      </c>
      <c r="MB600" s="121" t="s">
        <v>832</v>
      </c>
      <c r="MC600" s="122" t="s">
        <v>522</v>
      </c>
      <c r="MD600" s="123"/>
    </row>
    <row r="601" spans="338:342">
      <c r="LZ601" s="123"/>
      <c r="MA601" s="121"/>
      <c r="MB601" s="121" t="s">
        <v>833</v>
      </c>
      <c r="MC601" s="122"/>
      <c r="MD601" s="123"/>
    </row>
    <row r="602" spans="338:342">
      <c r="LZ602" s="123"/>
      <c r="MA602" s="121"/>
      <c r="MB602" s="121" t="s">
        <v>834</v>
      </c>
      <c r="MC602" s="122"/>
      <c r="MD602" s="123"/>
    </row>
    <row r="603" spans="338:342">
      <c r="LZ603" s="120">
        <v>5220</v>
      </c>
      <c r="MA603" s="121" t="s">
        <v>299</v>
      </c>
      <c r="MB603" s="121" t="s">
        <v>835</v>
      </c>
      <c r="MC603" s="122" t="s">
        <v>414</v>
      </c>
      <c r="MD603" s="123"/>
    </row>
    <row r="604" spans="338:342">
      <c r="LZ604" s="123"/>
      <c r="MA604" s="121"/>
      <c r="MB604" s="121" t="s">
        <v>836</v>
      </c>
      <c r="MC604" s="122"/>
      <c r="MD604" s="123"/>
    </row>
    <row r="605" spans="338:342">
      <c r="LZ605" s="123"/>
      <c r="MA605" s="121"/>
      <c r="MB605" s="121" t="s">
        <v>837</v>
      </c>
      <c r="MC605" s="122"/>
      <c r="MD605" s="123"/>
    </row>
    <row r="606" spans="338:342">
      <c r="LZ606" s="123"/>
      <c r="MA606" s="121"/>
      <c r="MB606" s="121" t="s">
        <v>838</v>
      </c>
      <c r="MC606" s="122"/>
      <c r="MD606" s="123"/>
    </row>
    <row r="607" spans="338:342">
      <c r="LZ607" s="120">
        <v>5230</v>
      </c>
      <c r="MA607" s="121" t="s">
        <v>299</v>
      </c>
      <c r="MB607" s="121" t="s">
        <v>839</v>
      </c>
      <c r="MC607" s="122" t="s">
        <v>166</v>
      </c>
      <c r="MD607" s="123"/>
    </row>
    <row r="608" spans="338:342">
      <c r="LZ608" s="123"/>
      <c r="MA608" s="121"/>
      <c r="MB608" s="121" t="s">
        <v>840</v>
      </c>
      <c r="MC608" s="122"/>
      <c r="MD608" s="123"/>
    </row>
    <row r="609" spans="338:342">
      <c r="LZ609" s="123"/>
      <c r="MA609" s="121"/>
      <c r="MB609" s="121" t="s">
        <v>841</v>
      </c>
      <c r="MC609" s="122"/>
      <c r="MD609" s="123"/>
    </row>
    <row r="610" spans="338:342">
      <c r="LZ610" s="123"/>
      <c r="MA610" s="121"/>
      <c r="MB610" s="121" t="s">
        <v>842</v>
      </c>
      <c r="MC610" s="122"/>
      <c r="MD610" s="123"/>
    </row>
    <row r="611" spans="338:342">
      <c r="LZ611" s="120">
        <v>5240</v>
      </c>
      <c r="MA611" s="121" t="s">
        <v>299</v>
      </c>
      <c r="MB611" s="121" t="s">
        <v>843</v>
      </c>
      <c r="MC611" s="122" t="s">
        <v>414</v>
      </c>
      <c r="MD611" s="123"/>
    </row>
    <row r="612" spans="338:342">
      <c r="LZ612" s="123"/>
      <c r="MA612" s="121"/>
      <c r="MB612" s="121" t="s">
        <v>844</v>
      </c>
      <c r="MC612" s="122"/>
      <c r="MD612" s="123"/>
    </row>
    <row r="613" spans="338:342">
      <c r="LZ613" s="123"/>
      <c r="MA613" s="121"/>
      <c r="MB613" s="121" t="s">
        <v>845</v>
      </c>
      <c r="MC613" s="122"/>
      <c r="MD613" s="123"/>
    </row>
    <row r="614" spans="338:342">
      <c r="LZ614" s="120">
        <v>5241</v>
      </c>
      <c r="MA614" s="121" t="s">
        <v>299</v>
      </c>
      <c r="MB614" s="121" t="s">
        <v>846</v>
      </c>
      <c r="MC614" s="122" t="s">
        <v>418</v>
      </c>
      <c r="MD614" s="123"/>
    </row>
    <row r="615" spans="338:342">
      <c r="LZ615" s="123"/>
      <c r="MA615" s="121"/>
      <c r="MB615" s="121" t="s">
        <v>847</v>
      </c>
      <c r="MC615" s="122"/>
      <c r="MD615" s="123"/>
    </row>
    <row r="616" spans="338:342">
      <c r="LZ616" s="120">
        <v>5250</v>
      </c>
      <c r="MA616" s="121" t="s">
        <v>299</v>
      </c>
      <c r="MB616" s="121" t="s">
        <v>848</v>
      </c>
      <c r="MC616" s="122" t="s">
        <v>849</v>
      </c>
      <c r="MD616" s="123"/>
    </row>
    <row r="617" spans="338:342">
      <c r="LZ617" s="123"/>
      <c r="MA617" s="121"/>
      <c r="MB617" s="121" t="s">
        <v>850</v>
      </c>
      <c r="MC617" s="122"/>
      <c r="MD617" s="123"/>
    </row>
    <row r="618" spans="338:342">
      <c r="LZ618" s="123"/>
      <c r="MA618" s="121"/>
      <c r="MB618" s="121" t="s">
        <v>851</v>
      </c>
      <c r="MC618" s="122"/>
      <c r="MD618" s="123"/>
    </row>
    <row r="619" spans="338:342">
      <c r="LZ619" s="120">
        <v>5251</v>
      </c>
      <c r="MA619" s="121" t="s">
        <v>299</v>
      </c>
      <c r="MB619" s="121" t="s">
        <v>852</v>
      </c>
      <c r="MC619" s="122" t="s">
        <v>757</v>
      </c>
      <c r="MD619" s="123"/>
    </row>
    <row r="620" spans="338:342">
      <c r="LZ620" s="123"/>
      <c r="MA620" s="121"/>
      <c r="MB620" s="121" t="s">
        <v>853</v>
      </c>
      <c r="MC620" s="122"/>
      <c r="MD620" s="123"/>
    </row>
    <row r="621" spans="338:342">
      <c r="LZ621" s="120">
        <v>5260</v>
      </c>
      <c r="MA621" s="121" t="s">
        <v>196</v>
      </c>
      <c r="MB621" s="121" t="s">
        <v>854</v>
      </c>
      <c r="MC621" s="122" t="s">
        <v>855</v>
      </c>
      <c r="MD621" s="123"/>
    </row>
    <row r="622" spans="338:342">
      <c r="LZ622" s="123"/>
      <c r="MA622" s="121"/>
      <c r="MB622" s="121" t="s">
        <v>856</v>
      </c>
      <c r="MC622" s="122"/>
      <c r="MD622" s="123"/>
    </row>
    <row r="623" spans="338:342">
      <c r="LZ623" s="123"/>
      <c r="MA623" s="121"/>
      <c r="MB623" s="121" t="s">
        <v>857</v>
      </c>
      <c r="MC623" s="122"/>
      <c r="MD623" s="123"/>
    </row>
    <row r="624" spans="338:342">
      <c r="LZ624" s="123"/>
      <c r="MA624" s="121"/>
      <c r="MB624" s="121" t="s">
        <v>858</v>
      </c>
      <c r="MC624" s="122"/>
      <c r="MD624" s="123"/>
    </row>
    <row r="625" spans="338:342">
      <c r="LZ625" s="120">
        <v>5270</v>
      </c>
      <c r="MA625" s="121" t="s">
        <v>196</v>
      </c>
      <c r="MB625" s="121" t="s">
        <v>859</v>
      </c>
      <c r="MC625" s="122" t="s">
        <v>193</v>
      </c>
      <c r="MD625" s="123"/>
    </row>
    <row r="626" spans="338:342">
      <c r="LZ626" s="123"/>
      <c r="MA626" s="121"/>
      <c r="MB626" s="121" t="s">
        <v>860</v>
      </c>
      <c r="MC626" s="122"/>
      <c r="MD626" s="123"/>
    </row>
    <row r="627" spans="338:342">
      <c r="LZ627" s="123"/>
      <c r="MA627" s="121"/>
      <c r="MB627" s="121" t="s">
        <v>861</v>
      </c>
      <c r="MC627" s="122"/>
      <c r="MD627" s="123"/>
    </row>
    <row r="628" spans="338:342">
      <c r="LZ628" s="120">
        <v>5280</v>
      </c>
      <c r="MA628" s="121" t="s">
        <v>196</v>
      </c>
      <c r="MB628" s="121" t="s">
        <v>862</v>
      </c>
      <c r="MC628" s="122" t="s">
        <v>863</v>
      </c>
      <c r="MD628" s="123"/>
    </row>
    <row r="629" spans="338:342">
      <c r="LZ629" s="123"/>
      <c r="MA629" s="121"/>
      <c r="MB629" s="121" t="s">
        <v>864</v>
      </c>
      <c r="MC629" s="122"/>
      <c r="MD629" s="123"/>
    </row>
    <row r="630" spans="338:342">
      <c r="LZ630" s="123"/>
      <c r="MA630" s="121"/>
      <c r="MB630" s="121" t="s">
        <v>865</v>
      </c>
      <c r="MC630" s="122"/>
      <c r="MD630" s="123"/>
    </row>
    <row r="631" spans="338:342">
      <c r="LZ631" s="123"/>
      <c r="MA631" s="121"/>
      <c r="MB631" s="121" t="s">
        <v>866</v>
      </c>
      <c r="MC631" s="122"/>
      <c r="MD631" s="123"/>
    </row>
    <row r="632" spans="338:342">
      <c r="LZ632" s="120">
        <v>5290</v>
      </c>
      <c r="MA632" s="121" t="s">
        <v>196</v>
      </c>
      <c r="MB632" s="121" t="s">
        <v>867</v>
      </c>
      <c r="MC632" s="122" t="s">
        <v>868</v>
      </c>
      <c r="MD632" s="123"/>
    </row>
    <row r="633" spans="338:342">
      <c r="LZ633" s="123"/>
      <c r="MA633" s="121"/>
      <c r="MB633" s="121" t="s">
        <v>869</v>
      </c>
      <c r="MC633" s="122"/>
      <c r="MD633" s="123"/>
    </row>
    <row r="634" spans="338:342">
      <c r="LZ634" s="123"/>
      <c r="MA634" s="121"/>
      <c r="MB634" s="121" t="s">
        <v>870</v>
      </c>
      <c r="MC634" s="122"/>
      <c r="MD634" s="123"/>
    </row>
    <row r="635" spans="338:342">
      <c r="LZ635" s="120">
        <v>5300</v>
      </c>
      <c r="MA635" s="121" t="s">
        <v>196</v>
      </c>
      <c r="MB635" s="121" t="s">
        <v>871</v>
      </c>
      <c r="MC635" s="122" t="s">
        <v>223</v>
      </c>
      <c r="MD635" s="123"/>
    </row>
    <row r="636" spans="338:342">
      <c r="LZ636" s="123"/>
      <c r="MA636" s="121"/>
      <c r="MB636" s="121" t="s">
        <v>872</v>
      </c>
      <c r="MC636" s="122"/>
      <c r="MD636" s="123"/>
    </row>
    <row r="637" spans="338:342">
      <c r="LZ637" s="123"/>
      <c r="MA637" s="121"/>
      <c r="MB637" s="121" t="s">
        <v>873</v>
      </c>
      <c r="MC637" s="122"/>
      <c r="MD637" s="123"/>
    </row>
    <row r="638" spans="338:342">
      <c r="LZ638" s="120">
        <v>5310</v>
      </c>
      <c r="MA638" s="121" t="s">
        <v>196</v>
      </c>
      <c r="MB638" s="121" t="s">
        <v>874</v>
      </c>
      <c r="MC638" s="122" t="s">
        <v>818</v>
      </c>
      <c r="MD638" s="123"/>
    </row>
    <row r="639" spans="338:342">
      <c r="LZ639" s="123"/>
      <c r="MA639" s="121"/>
      <c r="MB639" s="121" t="s">
        <v>875</v>
      </c>
      <c r="MC639" s="122"/>
      <c r="MD639" s="123"/>
    </row>
    <row r="640" spans="338:342">
      <c r="LZ640" s="123"/>
      <c r="MA640" s="121"/>
      <c r="MB640" s="121" t="s">
        <v>876</v>
      </c>
      <c r="MC640" s="122"/>
      <c r="MD640" s="123"/>
    </row>
    <row r="641" spans="338:342">
      <c r="LZ641" s="120">
        <v>5320</v>
      </c>
      <c r="MA641" s="121" t="s">
        <v>196</v>
      </c>
      <c r="MB641" s="121" t="s">
        <v>877</v>
      </c>
      <c r="MC641" s="122" t="s">
        <v>878</v>
      </c>
      <c r="MD641" s="123"/>
    </row>
    <row r="642" spans="338:342">
      <c r="LZ642" s="123"/>
      <c r="MA642" s="121"/>
      <c r="MB642" s="121" t="s">
        <v>879</v>
      </c>
      <c r="MC642" s="122"/>
      <c r="MD642" s="123"/>
    </row>
    <row r="643" spans="338:342">
      <c r="LZ643" s="123"/>
      <c r="MA643" s="121"/>
      <c r="MB643" s="121" t="s">
        <v>880</v>
      </c>
      <c r="MC643" s="122"/>
      <c r="MD643" s="123"/>
    </row>
    <row r="644" spans="338:342">
      <c r="LZ644" s="120">
        <v>5330</v>
      </c>
      <c r="MA644" s="121" t="s">
        <v>196</v>
      </c>
      <c r="MB644" s="121" t="s">
        <v>881</v>
      </c>
      <c r="MC644" s="122" t="s">
        <v>677</v>
      </c>
      <c r="MD644" s="123"/>
    </row>
    <row r="645" spans="338:342">
      <c r="LZ645" s="123"/>
      <c r="MA645" s="121"/>
      <c r="MB645" s="121" t="s">
        <v>882</v>
      </c>
      <c r="MC645" s="122"/>
      <c r="MD645" s="123"/>
    </row>
    <row r="646" spans="338:342">
      <c r="LZ646" s="123"/>
      <c r="MA646" s="121"/>
      <c r="MB646" s="121" t="s">
        <v>883</v>
      </c>
      <c r="MC646" s="122"/>
      <c r="MD646" s="123"/>
    </row>
    <row r="647" spans="338:342">
      <c r="LZ647" s="120">
        <v>5340</v>
      </c>
      <c r="MA647" s="121" t="s">
        <v>196</v>
      </c>
      <c r="MB647" s="121" t="s">
        <v>884</v>
      </c>
      <c r="MC647" s="122" t="s">
        <v>670</v>
      </c>
      <c r="MD647" s="123"/>
    </row>
    <row r="648" spans="338:342">
      <c r="LZ648" s="123"/>
      <c r="MA648" s="121"/>
      <c r="MB648" s="121" t="s">
        <v>885</v>
      </c>
      <c r="MC648" s="122"/>
      <c r="MD648" s="123"/>
    </row>
    <row r="649" spans="338:342" ht="20.399999999999999">
      <c r="LZ649" s="120">
        <v>5350</v>
      </c>
      <c r="MA649" s="121" t="s">
        <v>196</v>
      </c>
      <c r="MB649" s="125" t="s">
        <v>886</v>
      </c>
      <c r="MC649" s="122" t="s">
        <v>887</v>
      </c>
      <c r="MD649" s="123"/>
    </row>
    <row r="650" spans="338:342">
      <c r="LZ650" s="120">
        <v>5360</v>
      </c>
      <c r="MA650" s="121" t="s">
        <v>196</v>
      </c>
      <c r="MB650" s="121" t="s">
        <v>888</v>
      </c>
      <c r="MC650" s="122" t="s">
        <v>889</v>
      </c>
      <c r="MD650" s="123"/>
    </row>
    <row r="651" spans="338:342">
      <c r="LZ651" s="120">
        <v>5370</v>
      </c>
      <c r="MA651" s="121" t="s">
        <v>196</v>
      </c>
      <c r="MB651" s="121" t="s">
        <v>890</v>
      </c>
      <c r="MC651" s="122" t="s">
        <v>673</v>
      </c>
      <c r="MD651" s="123"/>
    </row>
    <row r="652" spans="338:342">
      <c r="LZ652" s="123"/>
      <c r="MA652" s="121"/>
      <c r="MB652" s="121" t="s">
        <v>891</v>
      </c>
      <c r="MC652" s="122"/>
      <c r="MD652" s="123"/>
    </row>
    <row r="653" spans="338:342">
      <c r="LZ653" s="120">
        <v>5380</v>
      </c>
      <c r="MA653" s="121" t="s">
        <v>196</v>
      </c>
      <c r="MB653" s="121" t="s">
        <v>892</v>
      </c>
      <c r="MC653" s="122" t="s">
        <v>889</v>
      </c>
      <c r="MD653" s="123"/>
    </row>
    <row r="654" spans="338:342">
      <c r="LZ654" s="123"/>
      <c r="MA654" s="121"/>
      <c r="MB654" s="121" t="s">
        <v>893</v>
      </c>
      <c r="MC654" s="122"/>
      <c r="MD654" s="123"/>
    </row>
    <row r="655" spans="338:342">
      <c r="LZ655" s="120">
        <v>5900</v>
      </c>
      <c r="MA655" s="121" t="s">
        <v>140</v>
      </c>
      <c r="MB655" s="121" t="s">
        <v>894</v>
      </c>
      <c r="MC655" s="122" t="s">
        <v>142</v>
      </c>
      <c r="MD655" s="123"/>
    </row>
    <row r="656" spans="338:342">
      <c r="LZ656" s="123"/>
      <c r="MA656" s="121"/>
      <c r="MB656" s="121" t="s">
        <v>895</v>
      </c>
      <c r="MC656" s="122"/>
      <c r="MD656" s="123"/>
    </row>
    <row r="657" spans="338:342" ht="20.399999999999999">
      <c r="LZ657" s="123"/>
      <c r="MA657" s="121"/>
      <c r="MB657" s="121" t="s">
        <v>896</v>
      </c>
      <c r="MC657" s="122"/>
      <c r="MD657" s="123"/>
    </row>
    <row r="658" spans="338:342">
      <c r="LZ658" s="120">
        <v>5901</v>
      </c>
      <c r="MA658" s="121" t="s">
        <v>140</v>
      </c>
      <c r="MB658" s="121" t="s">
        <v>897</v>
      </c>
      <c r="MC658" s="122" t="s">
        <v>142</v>
      </c>
      <c r="MD658" s="123"/>
    </row>
    <row r="659" spans="338:342">
      <c r="LZ659" s="123"/>
      <c r="MA659" s="121"/>
      <c r="MB659" s="121" t="s">
        <v>898</v>
      </c>
      <c r="MC659" s="122"/>
      <c r="MD659" s="123"/>
    </row>
    <row r="660" spans="338:342">
      <c r="LZ660" s="120">
        <v>5902</v>
      </c>
      <c r="MA660" s="121" t="s">
        <v>140</v>
      </c>
      <c r="MB660" s="121" t="s">
        <v>899</v>
      </c>
      <c r="MC660" s="122" t="s">
        <v>142</v>
      </c>
      <c r="MD660" s="123"/>
    </row>
    <row r="661" spans="338:342">
      <c r="LZ661" s="123"/>
      <c r="MA661" s="121"/>
      <c r="MB661" s="121" t="s">
        <v>900</v>
      </c>
      <c r="MC661" s="122"/>
      <c r="MD661" s="123"/>
    </row>
    <row r="662" spans="338:342">
      <c r="LZ662" s="120">
        <v>5903</v>
      </c>
      <c r="MA662" s="121" t="s">
        <v>140</v>
      </c>
      <c r="MB662" s="121" t="s">
        <v>901</v>
      </c>
      <c r="MC662" s="122" t="s">
        <v>142</v>
      </c>
      <c r="MD662" s="123"/>
    </row>
    <row r="663" spans="338:342">
      <c r="LZ663" s="123"/>
      <c r="MA663" s="121"/>
      <c r="MB663" s="121" t="s">
        <v>902</v>
      </c>
      <c r="MC663" s="122"/>
      <c r="MD663" s="123"/>
    </row>
    <row r="664" spans="338:342">
      <c r="LZ664" s="120">
        <v>5904</v>
      </c>
      <c r="MA664" s="121" t="s">
        <v>140</v>
      </c>
      <c r="MB664" s="121" t="s">
        <v>903</v>
      </c>
      <c r="MC664" s="122" t="s">
        <v>142</v>
      </c>
      <c r="MD664" s="123"/>
    </row>
    <row r="665" spans="338:342">
      <c r="LZ665" s="123"/>
      <c r="MA665" s="121"/>
      <c r="MB665" s="121" t="s">
        <v>904</v>
      </c>
      <c r="MC665" s="122"/>
      <c r="MD665" s="123"/>
    </row>
    <row r="666" spans="338:342">
      <c r="LZ666" s="120">
        <v>5905</v>
      </c>
      <c r="MA666" s="121" t="s">
        <v>140</v>
      </c>
      <c r="MB666" s="121" t="s">
        <v>905</v>
      </c>
      <c r="MC666" s="122" t="s">
        <v>142</v>
      </c>
      <c r="MD666" s="123"/>
    </row>
    <row r="667" spans="338:342">
      <c r="LZ667" s="123"/>
      <c r="MA667" s="121"/>
      <c r="MB667" s="121" t="s">
        <v>906</v>
      </c>
      <c r="MC667" s="122"/>
      <c r="MD667" s="123"/>
    </row>
    <row r="668" spans="338:342">
      <c r="LZ668" s="120">
        <v>5909</v>
      </c>
      <c r="MA668" s="121" t="s">
        <v>140</v>
      </c>
      <c r="MB668" s="121" t="s">
        <v>907</v>
      </c>
      <c r="MC668" s="122" t="s">
        <v>142</v>
      </c>
      <c r="MD668" s="123"/>
    </row>
    <row r="669" spans="338:342">
      <c r="LZ669" s="123"/>
      <c r="MA669" s="121"/>
      <c r="MB669" s="121" t="s">
        <v>907</v>
      </c>
      <c r="MC669" s="122"/>
      <c r="MD669" s="123"/>
    </row>
    <row r="670" spans="338:342">
      <c r="LZ670" s="120">
        <v>6010</v>
      </c>
      <c r="MA670" s="121" t="s">
        <v>405</v>
      </c>
      <c r="MB670" s="121" t="s">
        <v>908</v>
      </c>
      <c r="MC670" s="122" t="s">
        <v>414</v>
      </c>
      <c r="MD670" s="123"/>
    </row>
    <row r="671" spans="338:342">
      <c r="LZ671" s="123"/>
      <c r="MA671" s="121"/>
      <c r="MB671" s="121" t="s">
        <v>909</v>
      </c>
      <c r="MC671" s="122"/>
      <c r="MD671" s="123"/>
    </row>
    <row r="672" spans="338:342" ht="20.399999999999999">
      <c r="LZ672" s="123"/>
      <c r="MA672" s="121"/>
      <c r="MB672" s="121" t="s">
        <v>910</v>
      </c>
      <c r="MC672" s="122"/>
      <c r="MD672" s="123"/>
    </row>
    <row r="673" spans="338:342">
      <c r="LZ673" s="123"/>
      <c r="MA673" s="121"/>
      <c r="MB673" s="121" t="s">
        <v>911</v>
      </c>
      <c r="MC673" s="122"/>
      <c r="MD673" s="123"/>
    </row>
    <row r="674" spans="338:342">
      <c r="LZ674" s="120">
        <v>6011</v>
      </c>
      <c r="MA674" s="121" t="s">
        <v>405</v>
      </c>
      <c r="MB674" s="121" t="s">
        <v>912</v>
      </c>
      <c r="MC674" s="122" t="s">
        <v>234</v>
      </c>
      <c r="MD674" s="123"/>
    </row>
    <row r="675" spans="338:342">
      <c r="LZ675" s="123"/>
      <c r="MA675" s="121"/>
      <c r="MB675" s="121" t="s">
        <v>913</v>
      </c>
      <c r="MC675" s="122"/>
      <c r="MD675" s="123"/>
    </row>
    <row r="676" spans="338:342">
      <c r="LZ676" s="120">
        <v>6012</v>
      </c>
      <c r="MA676" s="121" t="s">
        <v>405</v>
      </c>
      <c r="MB676" s="121" t="s">
        <v>914</v>
      </c>
      <c r="MC676" s="122" t="s">
        <v>915</v>
      </c>
      <c r="MD676" s="123"/>
    </row>
    <row r="677" spans="338:342">
      <c r="LZ677" s="123"/>
      <c r="MA677" s="121"/>
      <c r="MB677" s="121" t="s">
        <v>913</v>
      </c>
      <c r="MC677" s="122"/>
      <c r="MD677" s="123"/>
    </row>
    <row r="678" spans="338:342">
      <c r="LZ678" s="120">
        <v>6020</v>
      </c>
      <c r="MA678" s="121" t="s">
        <v>405</v>
      </c>
      <c r="MB678" s="121" t="s">
        <v>916</v>
      </c>
      <c r="MC678" s="122" t="s">
        <v>271</v>
      </c>
      <c r="MD678" s="123"/>
    </row>
    <row r="679" spans="338:342">
      <c r="LZ679" s="123"/>
      <c r="MA679" s="121"/>
      <c r="MB679" s="121" t="s">
        <v>917</v>
      </c>
      <c r="MC679" s="122"/>
      <c r="MD679" s="123"/>
    </row>
    <row r="680" spans="338:342">
      <c r="LZ680" s="123"/>
      <c r="MA680" s="121"/>
      <c r="MB680" s="121" t="s">
        <v>918</v>
      </c>
      <c r="MC680" s="122"/>
      <c r="MD680" s="123"/>
    </row>
    <row r="681" spans="338:342">
      <c r="LZ681" s="123"/>
      <c r="MA681" s="121"/>
      <c r="MB681" s="121" t="s">
        <v>919</v>
      </c>
      <c r="MC681" s="122"/>
      <c r="MD681" s="123"/>
    </row>
    <row r="682" spans="338:342" ht="20.399999999999999">
      <c r="LZ682" s="123"/>
      <c r="MA682" s="121"/>
      <c r="MB682" s="121" t="s">
        <v>920</v>
      </c>
      <c r="MC682" s="122"/>
      <c r="MD682" s="123"/>
    </row>
    <row r="683" spans="338:342">
      <c r="LZ683" s="120">
        <v>6030</v>
      </c>
      <c r="MA683" s="121" t="s">
        <v>196</v>
      </c>
      <c r="MB683" s="121" t="s">
        <v>921</v>
      </c>
      <c r="MC683" s="122" t="s">
        <v>515</v>
      </c>
      <c r="MD683" s="123"/>
    </row>
    <row r="684" spans="338:342">
      <c r="LZ684" s="123"/>
      <c r="MA684" s="121"/>
      <c r="MB684" s="121" t="s">
        <v>922</v>
      </c>
      <c r="MC684" s="122"/>
      <c r="MD684" s="123"/>
    </row>
    <row r="685" spans="338:342" ht="20.399999999999999">
      <c r="LZ685" s="123"/>
      <c r="MA685" s="121"/>
      <c r="MB685" s="121" t="s">
        <v>923</v>
      </c>
      <c r="MC685" s="122"/>
      <c r="MD685" s="123"/>
    </row>
    <row r="686" spans="338:342" ht="20.399999999999999">
      <c r="LZ686" s="123"/>
      <c r="MA686" s="121"/>
      <c r="MB686" s="121" t="s">
        <v>924</v>
      </c>
      <c r="MC686" s="122"/>
      <c r="MD686" s="123"/>
    </row>
    <row r="687" spans="338:342">
      <c r="LZ687" s="120">
        <v>6040</v>
      </c>
      <c r="MA687" s="121" t="s">
        <v>196</v>
      </c>
      <c r="MB687" s="121" t="s">
        <v>925</v>
      </c>
      <c r="MC687" s="122" t="s">
        <v>193</v>
      </c>
      <c r="MD687" s="123"/>
    </row>
    <row r="688" spans="338:342">
      <c r="LZ688" s="123"/>
      <c r="MA688" s="121"/>
      <c r="MB688" s="121" t="s">
        <v>926</v>
      </c>
      <c r="MC688" s="122"/>
      <c r="MD688" s="123"/>
    </row>
    <row r="689" spans="338:342">
      <c r="LZ689" s="120">
        <v>6041</v>
      </c>
      <c r="MA689" s="121" t="s">
        <v>196</v>
      </c>
      <c r="MB689" s="121" t="s">
        <v>927</v>
      </c>
      <c r="MC689" s="122" t="s">
        <v>928</v>
      </c>
      <c r="MD689" s="123"/>
    </row>
    <row r="690" spans="338:342">
      <c r="LZ690" s="123"/>
      <c r="MA690" s="121"/>
      <c r="MB690" s="121" t="s">
        <v>929</v>
      </c>
      <c r="MC690" s="122"/>
      <c r="MD690" s="123"/>
    </row>
    <row r="691" spans="338:342">
      <c r="LZ691" s="120">
        <v>6042</v>
      </c>
      <c r="MA691" s="121" t="s">
        <v>196</v>
      </c>
      <c r="MB691" s="121" t="s">
        <v>930</v>
      </c>
      <c r="MC691" s="122" t="s">
        <v>262</v>
      </c>
      <c r="MD691" s="123"/>
    </row>
    <row r="692" spans="338:342">
      <c r="LZ692" s="123"/>
      <c r="MA692" s="121"/>
      <c r="MB692" s="121" t="s">
        <v>931</v>
      </c>
      <c r="MC692" s="122"/>
      <c r="MD692" s="123"/>
    </row>
    <row r="693" spans="338:342">
      <c r="LZ693" s="120">
        <v>6043</v>
      </c>
      <c r="MA693" s="121" t="s">
        <v>196</v>
      </c>
      <c r="MB693" s="121" t="s">
        <v>932</v>
      </c>
      <c r="MC693" s="122" t="s">
        <v>933</v>
      </c>
      <c r="MD693" s="123"/>
    </row>
    <row r="694" spans="338:342">
      <c r="LZ694" s="123"/>
      <c r="MA694" s="121"/>
      <c r="MB694" s="121" t="s">
        <v>934</v>
      </c>
      <c r="MC694" s="122"/>
      <c r="MD694" s="123"/>
    </row>
    <row r="695" spans="338:342">
      <c r="LZ695" s="120">
        <v>6050</v>
      </c>
      <c r="MA695" s="121" t="s">
        <v>196</v>
      </c>
      <c r="MB695" s="121" t="s">
        <v>935</v>
      </c>
      <c r="MC695" s="122" t="s">
        <v>679</v>
      </c>
      <c r="MD695" s="123"/>
    </row>
    <row r="696" spans="338:342">
      <c r="LZ696" s="123"/>
      <c r="MA696" s="121"/>
      <c r="MB696" s="121" t="s">
        <v>936</v>
      </c>
      <c r="MC696" s="122"/>
      <c r="MD696" s="123"/>
    </row>
    <row r="697" spans="338:342" ht="30.6">
      <c r="LZ697" s="120">
        <v>6060</v>
      </c>
      <c r="MA697" s="121" t="s">
        <v>937</v>
      </c>
      <c r="MB697" s="125" t="s">
        <v>938</v>
      </c>
      <c r="MC697" s="122" t="s">
        <v>697</v>
      </c>
      <c r="MD697" s="123"/>
    </row>
    <row r="698" spans="338:342" ht="20.399999999999999">
      <c r="LZ698" s="120">
        <v>6070</v>
      </c>
      <c r="MA698" s="121" t="s">
        <v>299</v>
      </c>
      <c r="MB698" s="121" t="s">
        <v>939</v>
      </c>
      <c r="MC698" s="122" t="s">
        <v>358</v>
      </c>
      <c r="MD698" s="123"/>
    </row>
    <row r="699" spans="338:342">
      <c r="LZ699" s="123"/>
      <c r="MA699" s="121"/>
      <c r="MB699" s="121" t="s">
        <v>940</v>
      </c>
      <c r="MC699" s="122"/>
      <c r="MD699" s="123"/>
    </row>
    <row r="700" spans="338:342">
      <c r="LZ700" s="120">
        <v>6071</v>
      </c>
      <c r="MA700" s="121" t="s">
        <v>299</v>
      </c>
      <c r="MB700" s="121" t="s">
        <v>941</v>
      </c>
      <c r="MC700" s="122" t="s">
        <v>312</v>
      </c>
      <c r="MD700" s="123"/>
    </row>
    <row r="701" spans="338:342">
      <c r="LZ701" s="123"/>
      <c r="MA701" s="121"/>
      <c r="MB701" s="121" t="s">
        <v>942</v>
      </c>
      <c r="MC701" s="122"/>
      <c r="MD701" s="123"/>
    </row>
    <row r="702" spans="338:342">
      <c r="LZ702" s="120">
        <v>6072</v>
      </c>
      <c r="MA702" s="121" t="s">
        <v>299</v>
      </c>
      <c r="MB702" s="121" t="s">
        <v>943</v>
      </c>
      <c r="MC702" s="122" t="s">
        <v>183</v>
      </c>
      <c r="MD702" s="123"/>
    </row>
    <row r="703" spans="338:342">
      <c r="LZ703" s="123"/>
      <c r="MA703" s="121"/>
      <c r="MB703" s="121" t="s">
        <v>942</v>
      </c>
      <c r="MC703" s="122"/>
      <c r="MD703" s="123"/>
    </row>
    <row r="704" spans="338:342">
      <c r="LZ704" s="120">
        <v>6080</v>
      </c>
      <c r="MA704" s="121" t="s">
        <v>299</v>
      </c>
      <c r="MB704" s="121" t="s">
        <v>944</v>
      </c>
      <c r="MC704" s="122" t="s">
        <v>945</v>
      </c>
      <c r="MD704" s="123"/>
    </row>
    <row r="705" spans="338:342">
      <c r="LZ705" s="123"/>
      <c r="MA705" s="121"/>
      <c r="MB705" s="121" t="s">
        <v>946</v>
      </c>
      <c r="MC705" s="122"/>
      <c r="MD705" s="123"/>
    </row>
    <row r="706" spans="338:342">
      <c r="LZ706" s="120">
        <v>6081</v>
      </c>
      <c r="MA706" s="121" t="s">
        <v>299</v>
      </c>
      <c r="MB706" s="121" t="s">
        <v>947</v>
      </c>
      <c r="MC706" s="122" t="s">
        <v>358</v>
      </c>
      <c r="MD706" s="123"/>
    </row>
    <row r="707" spans="338:342">
      <c r="LZ707" s="123"/>
      <c r="MA707" s="121"/>
      <c r="MB707" s="121" t="s">
        <v>948</v>
      </c>
      <c r="MC707" s="122"/>
      <c r="MD707" s="123"/>
    </row>
    <row r="708" spans="338:342">
      <c r="LZ708" s="120">
        <v>6082</v>
      </c>
      <c r="MA708" s="121" t="s">
        <v>299</v>
      </c>
      <c r="MB708" s="121" t="s">
        <v>949</v>
      </c>
      <c r="MC708" s="122" t="s">
        <v>312</v>
      </c>
      <c r="MD708" s="123"/>
    </row>
    <row r="709" spans="338:342">
      <c r="LZ709" s="123"/>
      <c r="MA709" s="121"/>
      <c r="MB709" s="121" t="s">
        <v>950</v>
      </c>
      <c r="MC709" s="122"/>
      <c r="MD709" s="123"/>
    </row>
    <row r="710" spans="338:342">
      <c r="LZ710" s="120">
        <v>6090</v>
      </c>
      <c r="MA710" s="121" t="s">
        <v>196</v>
      </c>
      <c r="MB710" s="121" t="s">
        <v>951</v>
      </c>
      <c r="MC710" s="122" t="s">
        <v>533</v>
      </c>
      <c r="MD710" s="123"/>
    </row>
    <row r="711" spans="338:342">
      <c r="LZ711" s="123"/>
      <c r="MA711" s="121"/>
      <c r="MB711" s="121" t="s">
        <v>952</v>
      </c>
      <c r="MC711" s="122"/>
      <c r="MD711" s="123"/>
    </row>
    <row r="712" spans="338:342">
      <c r="LZ712" s="123"/>
      <c r="MA712" s="121"/>
      <c r="MB712" s="121" t="s">
        <v>953</v>
      </c>
      <c r="MC712" s="122"/>
      <c r="MD712" s="123"/>
    </row>
    <row r="713" spans="338:342">
      <c r="LZ713" s="120">
        <v>6091</v>
      </c>
      <c r="MA713" s="121" t="s">
        <v>196</v>
      </c>
      <c r="MB713" s="121" t="s">
        <v>954</v>
      </c>
      <c r="MC713" s="122" t="s">
        <v>955</v>
      </c>
      <c r="MD713" s="123"/>
    </row>
    <row r="714" spans="338:342">
      <c r="LZ714" s="123"/>
      <c r="MA714" s="121"/>
      <c r="MB714" s="121" t="s">
        <v>956</v>
      </c>
      <c r="MC714" s="122"/>
      <c r="MD714" s="123"/>
    </row>
    <row r="715" spans="338:342">
      <c r="LZ715" s="120">
        <v>6092</v>
      </c>
      <c r="MA715" s="121" t="s">
        <v>196</v>
      </c>
      <c r="MB715" s="121" t="s">
        <v>957</v>
      </c>
      <c r="MC715" s="122" t="s">
        <v>958</v>
      </c>
      <c r="MD715" s="123"/>
    </row>
    <row r="716" spans="338:342">
      <c r="LZ716" s="123"/>
      <c r="MA716" s="121"/>
      <c r="MB716" s="121" t="s">
        <v>959</v>
      </c>
      <c r="MC716" s="122"/>
      <c r="MD716" s="123"/>
    </row>
    <row r="717" spans="338:342">
      <c r="LZ717" s="120">
        <v>6100</v>
      </c>
      <c r="MA717" s="121" t="s">
        <v>196</v>
      </c>
      <c r="MB717" s="121" t="s">
        <v>960</v>
      </c>
      <c r="MC717" s="122" t="s">
        <v>731</v>
      </c>
      <c r="MD717" s="123"/>
    </row>
    <row r="718" spans="338:342">
      <c r="LZ718" s="123"/>
      <c r="MA718" s="121"/>
      <c r="MB718" s="121" t="s">
        <v>961</v>
      </c>
      <c r="MC718" s="122"/>
      <c r="MD718" s="123"/>
    </row>
    <row r="719" spans="338:342">
      <c r="LZ719" s="120">
        <v>6110</v>
      </c>
      <c r="MA719" s="121" t="s">
        <v>196</v>
      </c>
      <c r="MB719" s="121" t="s">
        <v>962</v>
      </c>
      <c r="MC719" s="122" t="s">
        <v>963</v>
      </c>
      <c r="MD719" s="123"/>
    </row>
    <row r="720" spans="338:342">
      <c r="LZ720" s="123"/>
      <c r="MA720" s="121"/>
      <c r="MB720" s="121" t="s">
        <v>964</v>
      </c>
      <c r="MC720" s="122"/>
      <c r="MD720" s="123"/>
    </row>
    <row r="721" spans="338:342">
      <c r="LZ721" s="120">
        <v>6120</v>
      </c>
      <c r="MA721" s="121" t="s">
        <v>196</v>
      </c>
      <c r="MB721" s="121" t="s">
        <v>965</v>
      </c>
      <c r="MC721" s="122" t="s">
        <v>966</v>
      </c>
      <c r="MD721" s="123"/>
    </row>
    <row r="722" spans="338:342">
      <c r="LZ722" s="123"/>
      <c r="MA722" s="121"/>
      <c r="MB722" s="121" t="s">
        <v>967</v>
      </c>
      <c r="MC722" s="122"/>
      <c r="MD722" s="123"/>
    </row>
    <row r="723" spans="338:342">
      <c r="LZ723" s="120">
        <v>6130</v>
      </c>
      <c r="MA723" s="121" t="s">
        <v>196</v>
      </c>
      <c r="MB723" s="121" t="s">
        <v>968</v>
      </c>
      <c r="MC723" s="122" t="s">
        <v>262</v>
      </c>
      <c r="MD723" s="123"/>
    </row>
    <row r="724" spans="338:342">
      <c r="LZ724" s="123"/>
      <c r="MA724" s="121"/>
      <c r="MB724" s="121" t="s">
        <v>969</v>
      </c>
      <c r="MC724" s="122"/>
      <c r="MD724" s="123"/>
    </row>
    <row r="725" spans="338:342">
      <c r="LZ725" s="120">
        <v>6131</v>
      </c>
      <c r="MA725" s="121" t="s">
        <v>196</v>
      </c>
      <c r="MB725" s="121" t="s">
        <v>970</v>
      </c>
      <c r="MC725" s="122" t="s">
        <v>971</v>
      </c>
      <c r="MD725" s="123"/>
    </row>
    <row r="726" spans="338:342">
      <c r="LZ726" s="123"/>
      <c r="MA726" s="121"/>
      <c r="MB726" s="121" t="s">
        <v>972</v>
      </c>
      <c r="MC726" s="122"/>
      <c r="MD726" s="123"/>
    </row>
    <row r="727" spans="338:342">
      <c r="LZ727" s="120">
        <v>6132</v>
      </c>
      <c r="MA727" s="121" t="s">
        <v>196</v>
      </c>
      <c r="MB727" s="121" t="s">
        <v>973</v>
      </c>
      <c r="MC727" s="122" t="s">
        <v>210</v>
      </c>
      <c r="MD727" s="123"/>
    </row>
    <row r="728" spans="338:342">
      <c r="LZ728" s="123"/>
      <c r="MA728" s="121"/>
      <c r="MB728" s="121" t="s">
        <v>972</v>
      </c>
      <c r="MC728" s="122"/>
      <c r="MD728" s="123"/>
    </row>
    <row r="729" spans="338:342">
      <c r="LZ729" s="120">
        <v>6133</v>
      </c>
      <c r="MA729" s="121" t="s">
        <v>196</v>
      </c>
      <c r="MB729" s="121" t="s">
        <v>974</v>
      </c>
      <c r="MC729" s="122" t="s">
        <v>958</v>
      </c>
      <c r="MD729" s="123"/>
    </row>
    <row r="730" spans="338:342">
      <c r="LZ730" s="123"/>
      <c r="MA730" s="121"/>
      <c r="MB730" s="121" t="s">
        <v>972</v>
      </c>
      <c r="MC730" s="122"/>
      <c r="MD730" s="123"/>
    </row>
    <row r="731" spans="338:342">
      <c r="LZ731" s="120">
        <v>6140</v>
      </c>
      <c r="MA731" s="121" t="s">
        <v>405</v>
      </c>
      <c r="MB731" s="121" t="s">
        <v>975</v>
      </c>
      <c r="MC731" s="122" t="s">
        <v>774</v>
      </c>
      <c r="MD731" s="123"/>
    </row>
    <row r="732" spans="338:342">
      <c r="LZ732" s="123"/>
      <c r="MA732" s="121"/>
      <c r="MB732" s="121" t="s">
        <v>976</v>
      </c>
      <c r="MC732" s="122"/>
      <c r="MD732" s="123"/>
    </row>
    <row r="733" spans="338:342">
      <c r="LZ733" s="123"/>
      <c r="MA733" s="121"/>
      <c r="MB733" s="121" t="s">
        <v>977</v>
      </c>
      <c r="MC733" s="122"/>
      <c r="MD733" s="123"/>
    </row>
    <row r="734" spans="338:342">
      <c r="LZ734" s="120">
        <v>6141</v>
      </c>
      <c r="MA734" s="121" t="s">
        <v>405</v>
      </c>
      <c r="MB734" s="121" t="s">
        <v>978</v>
      </c>
      <c r="MC734" s="122" t="s">
        <v>979</v>
      </c>
      <c r="MD734" s="123"/>
    </row>
    <row r="735" spans="338:342">
      <c r="LZ735" s="123"/>
      <c r="MA735" s="121"/>
      <c r="MB735" s="121" t="s">
        <v>980</v>
      </c>
      <c r="MC735" s="122"/>
      <c r="MD735" s="123"/>
    </row>
    <row r="736" spans="338:342">
      <c r="LZ736" s="120">
        <v>6150</v>
      </c>
      <c r="MA736" s="121" t="s">
        <v>405</v>
      </c>
      <c r="MB736" s="121" t="s">
        <v>981</v>
      </c>
      <c r="MC736" s="122" t="s">
        <v>982</v>
      </c>
      <c r="MD736" s="123"/>
    </row>
    <row r="737" spans="338:342">
      <c r="LZ737" s="123"/>
      <c r="MA737" s="121"/>
      <c r="MB737" s="121" t="s">
        <v>983</v>
      </c>
      <c r="MC737" s="122"/>
      <c r="MD737" s="123"/>
    </row>
    <row r="738" spans="338:342">
      <c r="LZ738" s="120">
        <v>6151</v>
      </c>
      <c r="MA738" s="121" t="s">
        <v>405</v>
      </c>
      <c r="MB738" s="121" t="s">
        <v>984</v>
      </c>
      <c r="MC738" s="122" t="s">
        <v>793</v>
      </c>
      <c r="MD738" s="123"/>
    </row>
    <row r="739" spans="338:342">
      <c r="LZ739" s="123"/>
      <c r="MA739" s="121"/>
      <c r="MB739" s="121" t="s">
        <v>985</v>
      </c>
      <c r="MC739" s="122"/>
      <c r="MD739" s="123"/>
    </row>
    <row r="740" spans="338:342">
      <c r="LZ740" s="120">
        <v>6160</v>
      </c>
      <c r="MA740" s="121" t="s">
        <v>405</v>
      </c>
      <c r="MB740" s="121" t="s">
        <v>986</v>
      </c>
      <c r="MC740" s="122" t="s">
        <v>250</v>
      </c>
      <c r="MD740" s="123"/>
    </row>
    <row r="741" spans="338:342">
      <c r="LZ741" s="123"/>
      <c r="MA741" s="121"/>
      <c r="MB741" s="121" t="s">
        <v>983</v>
      </c>
      <c r="MC741" s="122"/>
      <c r="MD741" s="123"/>
    </row>
    <row r="742" spans="338:342">
      <c r="LZ742" s="120">
        <v>6161</v>
      </c>
      <c r="MA742" s="121" t="s">
        <v>405</v>
      </c>
      <c r="MB742" s="121" t="s">
        <v>987</v>
      </c>
      <c r="MC742" s="122" t="s">
        <v>223</v>
      </c>
      <c r="MD742" s="123"/>
    </row>
    <row r="743" spans="338:342">
      <c r="LZ743" s="123"/>
      <c r="MA743" s="121"/>
      <c r="MB743" s="121" t="s">
        <v>985</v>
      </c>
      <c r="MC743" s="122"/>
      <c r="MD743" s="123"/>
    </row>
    <row r="744" spans="338:342">
      <c r="LZ744" s="120">
        <v>6170</v>
      </c>
      <c r="MA744" s="121" t="s">
        <v>405</v>
      </c>
      <c r="MB744" s="121" t="s">
        <v>988</v>
      </c>
      <c r="MC744" s="122" t="s">
        <v>989</v>
      </c>
      <c r="MD744" s="123"/>
    </row>
    <row r="745" spans="338:342">
      <c r="LZ745" s="123"/>
      <c r="MA745" s="121"/>
      <c r="MB745" s="121" t="s">
        <v>983</v>
      </c>
      <c r="MC745" s="122"/>
      <c r="MD745" s="123"/>
    </row>
    <row r="746" spans="338:342">
      <c r="LZ746" s="120">
        <v>6171</v>
      </c>
      <c r="MA746" s="121" t="s">
        <v>405</v>
      </c>
      <c r="MB746" s="121" t="s">
        <v>990</v>
      </c>
      <c r="MC746" s="122" t="s">
        <v>991</v>
      </c>
      <c r="MD746" s="123"/>
    </row>
    <row r="747" spans="338:342">
      <c r="LZ747" s="123"/>
      <c r="MA747" s="121"/>
      <c r="MB747" s="121" t="s">
        <v>985</v>
      </c>
      <c r="MC747" s="122"/>
      <c r="MD747" s="123"/>
    </row>
    <row r="748" spans="338:342" ht="20.399999999999999">
      <c r="LZ748" s="120">
        <v>6180</v>
      </c>
      <c r="MA748" s="121" t="s">
        <v>405</v>
      </c>
      <c r="MB748" s="125" t="s">
        <v>992</v>
      </c>
      <c r="MC748" s="122" t="s">
        <v>628</v>
      </c>
      <c r="MD748" s="123"/>
    </row>
    <row r="749" spans="338:342" ht="20.399999999999999">
      <c r="LZ749" s="120">
        <v>6181</v>
      </c>
      <c r="MA749" s="121" t="s">
        <v>405</v>
      </c>
      <c r="MB749" s="121" t="s">
        <v>993</v>
      </c>
      <c r="MC749" s="122" t="s">
        <v>673</v>
      </c>
      <c r="MD749" s="123"/>
    </row>
    <row r="750" spans="338:342">
      <c r="LZ750" s="120">
        <v>6190</v>
      </c>
      <c r="MA750" s="121" t="s">
        <v>405</v>
      </c>
      <c r="MB750" s="121" t="s">
        <v>994</v>
      </c>
      <c r="MC750" s="122" t="s">
        <v>818</v>
      </c>
      <c r="MD750" s="123"/>
    </row>
    <row r="751" spans="338:342">
      <c r="LZ751" s="123"/>
      <c r="MA751" s="121"/>
      <c r="MB751" s="121" t="s">
        <v>983</v>
      </c>
      <c r="MC751" s="122"/>
      <c r="MD751" s="123"/>
    </row>
    <row r="752" spans="338:342">
      <c r="LZ752" s="120">
        <v>6191</v>
      </c>
      <c r="MA752" s="121" t="s">
        <v>405</v>
      </c>
      <c r="MB752" s="121" t="s">
        <v>995</v>
      </c>
      <c r="MC752" s="122" t="s">
        <v>466</v>
      </c>
      <c r="MD752" s="123"/>
    </row>
    <row r="753" spans="338:342">
      <c r="LZ753" s="123"/>
      <c r="MA753" s="121"/>
      <c r="MB753" s="121" t="s">
        <v>985</v>
      </c>
      <c r="MC753" s="122"/>
      <c r="MD753" s="123"/>
    </row>
    <row r="754" spans="338:342">
      <c r="LZ754" s="120">
        <v>6200</v>
      </c>
      <c r="MA754" s="121" t="s">
        <v>162</v>
      </c>
      <c r="MB754" s="121" t="s">
        <v>543</v>
      </c>
      <c r="MC754" s="122" t="s">
        <v>505</v>
      </c>
      <c r="MD754" s="123"/>
    </row>
    <row r="755" spans="338:342">
      <c r="LZ755" s="123"/>
      <c r="MA755" s="121"/>
      <c r="MB755" s="121" t="s">
        <v>996</v>
      </c>
      <c r="MC755" s="122"/>
      <c r="MD755" s="123"/>
    </row>
    <row r="756" spans="338:342">
      <c r="LZ756" s="120">
        <v>6210</v>
      </c>
      <c r="MA756" s="121" t="s">
        <v>162</v>
      </c>
      <c r="MB756" s="121" t="s">
        <v>547</v>
      </c>
      <c r="MC756" s="122" t="s">
        <v>538</v>
      </c>
      <c r="MD756" s="123"/>
    </row>
    <row r="757" spans="338:342">
      <c r="LZ757" s="123"/>
      <c r="MA757" s="121"/>
      <c r="MB757" s="121" t="s">
        <v>997</v>
      </c>
      <c r="MC757" s="122"/>
      <c r="MD757" s="123"/>
    </row>
    <row r="758" spans="338:342">
      <c r="LZ758" s="120">
        <v>6220</v>
      </c>
      <c r="MA758" s="121" t="s">
        <v>395</v>
      </c>
      <c r="MB758" s="121" t="s">
        <v>450</v>
      </c>
      <c r="MC758" s="122" t="s">
        <v>998</v>
      </c>
      <c r="MD758" s="123"/>
    </row>
    <row r="759" spans="338:342">
      <c r="LZ759" s="123"/>
      <c r="MA759" s="121"/>
      <c r="MB759" s="121" t="s">
        <v>999</v>
      </c>
      <c r="MC759" s="122"/>
      <c r="MD759" s="123"/>
    </row>
    <row r="760" spans="338:342">
      <c r="LZ760" s="120">
        <v>6230</v>
      </c>
      <c r="MA760" s="121" t="s">
        <v>299</v>
      </c>
      <c r="MB760" s="121" t="s">
        <v>1000</v>
      </c>
      <c r="MC760" s="122" t="s">
        <v>456</v>
      </c>
      <c r="MD760" s="123"/>
    </row>
    <row r="761" spans="338:342">
      <c r="LZ761" s="123"/>
      <c r="MA761" s="121"/>
      <c r="MB761" s="121" t="s">
        <v>1001</v>
      </c>
      <c r="MC761" s="122"/>
      <c r="MD761" s="123"/>
    </row>
    <row r="762" spans="338:342">
      <c r="LZ762" s="120">
        <v>6240</v>
      </c>
      <c r="MA762" s="121" t="s">
        <v>405</v>
      </c>
      <c r="MB762" s="121" t="s">
        <v>459</v>
      </c>
      <c r="MC762" s="122" t="s">
        <v>460</v>
      </c>
      <c r="MD762" s="123"/>
    </row>
    <row r="763" spans="338:342">
      <c r="LZ763" s="123"/>
      <c r="MA763" s="121"/>
      <c r="MB763" s="121" t="s">
        <v>1002</v>
      </c>
      <c r="MC763" s="122"/>
      <c r="MD763" s="123"/>
    </row>
    <row r="764" spans="338:342">
      <c r="LZ764" s="120">
        <v>6250</v>
      </c>
      <c r="MA764" s="121" t="s">
        <v>299</v>
      </c>
      <c r="MB764" s="121" t="s">
        <v>1003</v>
      </c>
      <c r="MC764" s="122" t="s">
        <v>164</v>
      </c>
      <c r="MD764" s="123"/>
    </row>
    <row r="765" spans="338:342">
      <c r="LZ765" s="123"/>
      <c r="MA765" s="121"/>
      <c r="MB765" s="121" t="s">
        <v>1004</v>
      </c>
      <c r="MC765" s="122"/>
      <c r="MD765" s="123"/>
    </row>
    <row r="766" spans="338:342">
      <c r="LZ766" s="120">
        <v>6260</v>
      </c>
      <c r="MA766" s="121" t="s">
        <v>405</v>
      </c>
      <c r="MB766" s="121" t="s">
        <v>457</v>
      </c>
      <c r="MC766" s="122" t="s">
        <v>240</v>
      </c>
      <c r="MD766" s="123"/>
    </row>
    <row r="767" spans="338:342">
      <c r="LZ767" s="123"/>
      <c r="MA767" s="121"/>
      <c r="MB767" s="121" t="s">
        <v>1005</v>
      </c>
      <c r="MC767" s="122"/>
      <c r="MD767" s="123"/>
    </row>
    <row r="768" spans="338:342">
      <c r="LZ768" s="120">
        <v>6270</v>
      </c>
      <c r="MA768" s="121" t="s">
        <v>162</v>
      </c>
      <c r="MB768" s="121" t="s">
        <v>1006</v>
      </c>
      <c r="MC768" s="122" t="s">
        <v>193</v>
      </c>
      <c r="MD768" s="123"/>
    </row>
    <row r="769" spans="338:342">
      <c r="LZ769" s="123"/>
      <c r="MA769" s="121"/>
      <c r="MB769" s="121" t="s">
        <v>1007</v>
      </c>
      <c r="MC769" s="122"/>
      <c r="MD769" s="123"/>
    </row>
    <row r="770" spans="338:342">
      <c r="LZ770" s="120">
        <v>6280</v>
      </c>
      <c r="MA770" s="121" t="s">
        <v>405</v>
      </c>
      <c r="MB770" s="121" t="s">
        <v>1008</v>
      </c>
      <c r="MC770" s="122" t="s">
        <v>323</v>
      </c>
      <c r="MD770" s="123"/>
    </row>
    <row r="771" spans="338:342">
      <c r="LZ771" s="123"/>
      <c r="MA771" s="121"/>
      <c r="MB771" s="121" t="s">
        <v>1009</v>
      </c>
      <c r="MC771" s="122"/>
      <c r="MD771" s="123"/>
    </row>
    <row r="772" spans="338:342">
      <c r="LZ772" s="120">
        <v>6290</v>
      </c>
      <c r="MA772" s="121" t="s">
        <v>162</v>
      </c>
      <c r="MB772" s="121" t="s">
        <v>1010</v>
      </c>
      <c r="MC772" s="122" t="s">
        <v>323</v>
      </c>
      <c r="MD772" s="123"/>
    </row>
    <row r="773" spans="338:342">
      <c r="LZ773" s="123"/>
      <c r="MA773" s="121"/>
      <c r="MB773" s="121" t="s">
        <v>1011</v>
      </c>
      <c r="MC773" s="122"/>
      <c r="MD773" s="123"/>
    </row>
    <row r="774" spans="338:342">
      <c r="LZ774" s="120">
        <v>6300</v>
      </c>
      <c r="MA774" s="121" t="s">
        <v>196</v>
      </c>
      <c r="MB774" s="121" t="s">
        <v>1012</v>
      </c>
      <c r="MC774" s="122" t="s">
        <v>1013</v>
      </c>
      <c r="MD774" s="123"/>
    </row>
    <row r="775" spans="338:342">
      <c r="LZ775" s="123"/>
      <c r="MA775" s="121"/>
      <c r="MB775" s="121" t="s">
        <v>1014</v>
      </c>
      <c r="MC775" s="122"/>
      <c r="MD775" s="123"/>
    </row>
    <row r="776" spans="338:342">
      <c r="LZ776" s="120">
        <v>6301</v>
      </c>
      <c r="MA776" s="121" t="s">
        <v>196</v>
      </c>
      <c r="MB776" s="121" t="s">
        <v>1015</v>
      </c>
      <c r="MC776" s="122" t="s">
        <v>1016</v>
      </c>
      <c r="MD776" s="123"/>
    </row>
    <row r="777" spans="338:342">
      <c r="LZ777" s="123"/>
      <c r="MA777" s="121"/>
      <c r="MB777" s="121" t="s">
        <v>1017</v>
      </c>
      <c r="MC777" s="122"/>
      <c r="MD777" s="123"/>
    </row>
    <row r="778" spans="338:342">
      <c r="LZ778" s="120">
        <v>6302</v>
      </c>
      <c r="MA778" s="121" t="s">
        <v>196</v>
      </c>
      <c r="MB778" s="121" t="s">
        <v>1018</v>
      </c>
      <c r="MC778" s="122" t="s">
        <v>1019</v>
      </c>
      <c r="MD778" s="123"/>
    </row>
    <row r="779" spans="338:342">
      <c r="LZ779" s="123"/>
      <c r="MA779" s="121"/>
      <c r="MB779" s="121" t="s">
        <v>1020</v>
      </c>
      <c r="MC779" s="122"/>
      <c r="MD779" s="123"/>
    </row>
    <row r="780" spans="338:342">
      <c r="LZ780" s="120">
        <v>6303</v>
      </c>
      <c r="MA780" s="121" t="s">
        <v>196</v>
      </c>
      <c r="MB780" s="121" t="s">
        <v>1021</v>
      </c>
      <c r="MC780" s="122" t="s">
        <v>1022</v>
      </c>
      <c r="MD780" s="123"/>
    </row>
    <row r="781" spans="338:342">
      <c r="LZ781" s="123"/>
      <c r="MA781" s="121"/>
      <c r="MB781" s="121" t="s">
        <v>1020</v>
      </c>
      <c r="MC781" s="122"/>
      <c r="MD781" s="123"/>
    </row>
    <row r="782" spans="338:342">
      <c r="LZ782" s="120">
        <v>6310</v>
      </c>
      <c r="MA782" s="121" t="s">
        <v>196</v>
      </c>
      <c r="MB782" s="121" t="s">
        <v>1023</v>
      </c>
      <c r="MC782" s="122" t="s">
        <v>201</v>
      </c>
      <c r="MD782" s="123"/>
    </row>
    <row r="783" spans="338:342">
      <c r="LZ783" s="123"/>
      <c r="MA783" s="121"/>
      <c r="MB783" s="121" t="s">
        <v>1024</v>
      </c>
      <c r="MC783" s="122"/>
      <c r="MD783" s="123"/>
    </row>
    <row r="784" spans="338:342">
      <c r="LZ784" s="120">
        <v>6311</v>
      </c>
      <c r="MA784" s="121" t="s">
        <v>196</v>
      </c>
      <c r="MB784" s="121" t="s">
        <v>1025</v>
      </c>
      <c r="MC784" s="122" t="s">
        <v>1026</v>
      </c>
      <c r="MD784" s="123"/>
    </row>
    <row r="785" spans="338:342">
      <c r="LZ785" s="123"/>
      <c r="MA785" s="121"/>
      <c r="MB785" s="121" t="s">
        <v>1027</v>
      </c>
      <c r="MC785" s="122"/>
      <c r="MD785" s="123"/>
    </row>
    <row r="786" spans="338:342">
      <c r="LZ786" s="120">
        <v>6312</v>
      </c>
      <c r="MA786" s="121" t="s">
        <v>196</v>
      </c>
      <c r="MB786" s="121" t="s">
        <v>1028</v>
      </c>
      <c r="MC786" s="122" t="s">
        <v>262</v>
      </c>
      <c r="MD786" s="123"/>
    </row>
    <row r="787" spans="338:342">
      <c r="LZ787" s="123"/>
      <c r="MA787" s="121"/>
      <c r="MB787" s="121" t="s">
        <v>1029</v>
      </c>
      <c r="MC787" s="122"/>
      <c r="MD787" s="123"/>
    </row>
    <row r="788" spans="338:342">
      <c r="LZ788" s="120">
        <v>6320</v>
      </c>
      <c r="MA788" s="121" t="s">
        <v>196</v>
      </c>
      <c r="MB788" s="121" t="s">
        <v>1030</v>
      </c>
      <c r="MC788" s="122" t="s">
        <v>793</v>
      </c>
      <c r="MD788" s="123"/>
    </row>
    <row r="789" spans="338:342" ht="20.399999999999999">
      <c r="LZ789" s="123"/>
      <c r="MA789" s="121"/>
      <c r="MB789" s="121" t="s">
        <v>1031</v>
      </c>
      <c r="MC789" s="122"/>
      <c r="MD789" s="123"/>
    </row>
    <row r="790" spans="338:342">
      <c r="LZ790" s="120">
        <v>6321</v>
      </c>
      <c r="MA790" s="121" t="s">
        <v>196</v>
      </c>
      <c r="MB790" s="121" t="s">
        <v>1032</v>
      </c>
      <c r="MC790" s="122" t="s">
        <v>798</v>
      </c>
      <c r="MD790" s="123"/>
    </row>
    <row r="791" spans="338:342">
      <c r="LZ791" s="123"/>
      <c r="MA791" s="121"/>
      <c r="MB791" s="121" t="s">
        <v>1033</v>
      </c>
      <c r="MC791" s="122"/>
      <c r="MD791" s="123"/>
    </row>
    <row r="792" spans="338:342">
      <c r="LZ792" s="120">
        <v>6322</v>
      </c>
      <c r="MA792" s="121" t="s">
        <v>196</v>
      </c>
      <c r="MB792" s="121" t="s">
        <v>1034</v>
      </c>
      <c r="MC792" s="122" t="s">
        <v>801</v>
      </c>
      <c r="MD792" s="123"/>
    </row>
    <row r="793" spans="338:342">
      <c r="LZ793" s="123"/>
      <c r="MA793" s="121"/>
      <c r="MB793" s="121" t="s">
        <v>1033</v>
      </c>
      <c r="MC793" s="122"/>
      <c r="MD793" s="123"/>
    </row>
    <row r="794" spans="338:342">
      <c r="LZ794" s="120">
        <v>6324</v>
      </c>
      <c r="MA794" s="121" t="s">
        <v>196</v>
      </c>
      <c r="MB794" s="121" t="s">
        <v>1035</v>
      </c>
      <c r="MC794" s="122" t="s">
        <v>818</v>
      </c>
      <c r="MD794" s="123"/>
    </row>
    <row r="795" spans="338:342">
      <c r="LZ795" s="123"/>
      <c r="MA795" s="121"/>
      <c r="MB795" s="121" t="s">
        <v>1033</v>
      </c>
      <c r="MC795" s="122"/>
      <c r="MD795" s="123"/>
    </row>
    <row r="796" spans="338:342">
      <c r="LZ796" s="120">
        <v>6330</v>
      </c>
      <c r="MA796" s="121" t="s">
        <v>196</v>
      </c>
      <c r="MB796" s="121" t="s">
        <v>1036</v>
      </c>
      <c r="MC796" s="122" t="s">
        <v>979</v>
      </c>
      <c r="MD796" s="123"/>
    </row>
    <row r="797" spans="338:342">
      <c r="LZ797" s="123"/>
      <c r="MA797" s="121"/>
      <c r="MB797" s="121" t="s">
        <v>1037</v>
      </c>
      <c r="MC797" s="122"/>
      <c r="MD797" s="123"/>
    </row>
    <row r="798" spans="338:342" ht="20.399999999999999">
      <c r="LZ798" s="120">
        <v>6331</v>
      </c>
      <c r="MA798" s="121" t="s">
        <v>196</v>
      </c>
      <c r="MB798" s="125" t="s">
        <v>1038</v>
      </c>
      <c r="MC798" s="122" t="s">
        <v>193</v>
      </c>
      <c r="MD798" s="123"/>
    </row>
    <row r="799" spans="338:342">
      <c r="LZ799" s="120">
        <v>6332</v>
      </c>
      <c r="MA799" s="121" t="s">
        <v>196</v>
      </c>
      <c r="MB799" s="121" t="s">
        <v>1039</v>
      </c>
      <c r="MC799" s="122" t="s">
        <v>193</v>
      </c>
      <c r="MD799" s="123"/>
    </row>
    <row r="800" spans="338:342">
      <c r="LZ800" s="120">
        <v>6340</v>
      </c>
      <c r="MA800" s="121" t="s">
        <v>196</v>
      </c>
      <c r="MB800" s="121" t="s">
        <v>1040</v>
      </c>
      <c r="MC800" s="122" t="s">
        <v>1041</v>
      </c>
      <c r="MD800" s="123"/>
    </row>
    <row r="801" spans="338:342">
      <c r="LZ801" s="123"/>
      <c r="MA801" s="121"/>
      <c r="MB801" s="121" t="s">
        <v>1042</v>
      </c>
      <c r="MC801" s="122"/>
      <c r="MD801" s="123"/>
    </row>
    <row r="802" spans="338:342">
      <c r="LZ802" s="120">
        <v>6350</v>
      </c>
      <c r="MA802" s="121" t="s">
        <v>196</v>
      </c>
      <c r="MB802" s="121" t="s">
        <v>1043</v>
      </c>
      <c r="MC802" s="122" t="s">
        <v>928</v>
      </c>
      <c r="MD802" s="123"/>
    </row>
    <row r="803" spans="338:342" ht="20.399999999999999">
      <c r="LZ803" s="123"/>
      <c r="MA803" s="121"/>
      <c r="MB803" s="121" t="s">
        <v>1044</v>
      </c>
      <c r="MC803" s="122"/>
      <c r="MD803" s="123"/>
    </row>
    <row r="804" spans="338:342">
      <c r="LZ804" s="120">
        <v>6351</v>
      </c>
      <c r="MA804" s="121" t="s">
        <v>196</v>
      </c>
      <c r="MB804" s="121" t="s">
        <v>1045</v>
      </c>
      <c r="MC804" s="122" t="s">
        <v>697</v>
      </c>
      <c r="MD804" s="123"/>
    </row>
    <row r="805" spans="338:342">
      <c r="LZ805" s="123"/>
      <c r="MA805" s="121"/>
      <c r="MB805" s="121" t="s">
        <v>1046</v>
      </c>
      <c r="MC805" s="122"/>
      <c r="MD805" s="123"/>
    </row>
    <row r="806" spans="338:342">
      <c r="LZ806" s="120">
        <v>6352</v>
      </c>
      <c r="MA806" s="121" t="s">
        <v>196</v>
      </c>
      <c r="MB806" s="121" t="s">
        <v>1047</v>
      </c>
      <c r="MC806" s="122" t="s">
        <v>206</v>
      </c>
      <c r="MD806" s="123"/>
    </row>
    <row r="807" spans="338:342">
      <c r="LZ807" s="123"/>
      <c r="MA807" s="121"/>
      <c r="MB807" s="121" t="s">
        <v>1046</v>
      </c>
      <c r="MC807" s="122"/>
      <c r="MD807" s="123"/>
    </row>
    <row r="808" spans="338:342">
      <c r="LZ808" s="120">
        <v>6353</v>
      </c>
      <c r="MA808" s="121" t="s">
        <v>196</v>
      </c>
      <c r="MB808" s="121" t="s">
        <v>1048</v>
      </c>
      <c r="MC808" s="122" t="s">
        <v>1049</v>
      </c>
      <c r="MD808" s="123"/>
    </row>
    <row r="809" spans="338:342">
      <c r="LZ809" s="123"/>
      <c r="MA809" s="121"/>
      <c r="MB809" s="121" t="s">
        <v>1050</v>
      </c>
      <c r="MC809" s="122"/>
      <c r="MD809" s="123"/>
    </row>
    <row r="810" spans="338:342">
      <c r="LZ810" s="120">
        <v>6437</v>
      </c>
      <c r="MA810" s="121" t="s">
        <v>405</v>
      </c>
      <c r="MB810" s="121" t="s">
        <v>1051</v>
      </c>
      <c r="MC810" s="122" t="s">
        <v>538</v>
      </c>
      <c r="MD810" s="123"/>
    </row>
    <row r="811" spans="338:342">
      <c r="LZ811" s="123"/>
      <c r="MA811" s="121"/>
      <c r="MB811" s="121" t="s">
        <v>1052</v>
      </c>
      <c r="MC811" s="122"/>
      <c r="MD811" s="123"/>
    </row>
    <row r="812" spans="338:342">
      <c r="LZ812" s="120">
        <v>7010</v>
      </c>
      <c r="MA812" s="121" t="s">
        <v>395</v>
      </c>
      <c r="MB812" s="121" t="s">
        <v>1053</v>
      </c>
      <c r="MC812" s="122" t="s">
        <v>1054</v>
      </c>
      <c r="MD812" s="123"/>
    </row>
    <row r="813" spans="338:342">
      <c r="LZ813" s="123"/>
      <c r="MA813" s="121"/>
      <c r="MB813" s="121" t="s">
        <v>1055</v>
      </c>
      <c r="MC813" s="122"/>
      <c r="MD813" s="123"/>
    </row>
    <row r="814" spans="338:342">
      <c r="LZ814" s="120">
        <v>7010</v>
      </c>
      <c r="MA814" s="121" t="s">
        <v>395</v>
      </c>
      <c r="MB814" s="121" t="s">
        <v>1053</v>
      </c>
      <c r="MC814" s="122" t="s">
        <v>1054</v>
      </c>
      <c r="MD814" s="123"/>
    </row>
    <row r="815" spans="338:342">
      <c r="LZ815" s="123"/>
      <c r="MA815" s="121"/>
      <c r="MB815" s="121" t="s">
        <v>1055</v>
      </c>
      <c r="MC815" s="122"/>
      <c r="MD815" s="123"/>
    </row>
    <row r="816" spans="338:342">
      <c r="LZ816" s="120">
        <v>7011</v>
      </c>
      <c r="MA816" s="121" t="s">
        <v>695</v>
      </c>
      <c r="MB816" s="121" t="s">
        <v>1053</v>
      </c>
      <c r="MC816" s="122" t="s">
        <v>697</v>
      </c>
      <c r="MD816" s="123"/>
    </row>
    <row r="817" spans="338:342">
      <c r="LZ817" s="123"/>
      <c r="MA817" s="121"/>
      <c r="MB817" s="121" t="s">
        <v>1056</v>
      </c>
      <c r="MC817" s="122"/>
      <c r="MD817" s="123"/>
    </row>
    <row r="818" spans="338:342">
      <c r="LZ818" s="120">
        <v>7012</v>
      </c>
      <c r="MA818" s="121" t="s">
        <v>395</v>
      </c>
      <c r="MB818" s="121" t="s">
        <v>1057</v>
      </c>
      <c r="MC818" s="122" t="s">
        <v>397</v>
      </c>
      <c r="MD818" s="123"/>
    </row>
    <row r="819" spans="338:342">
      <c r="LZ819" s="123"/>
      <c r="MA819" s="121"/>
      <c r="MB819" s="121" t="s">
        <v>1058</v>
      </c>
      <c r="MC819" s="122"/>
      <c r="MD819" s="123"/>
    </row>
    <row r="820" spans="338:342">
      <c r="LZ820" s="120">
        <v>7020</v>
      </c>
      <c r="MA820" s="121" t="s">
        <v>196</v>
      </c>
      <c r="MB820" s="121" t="s">
        <v>1059</v>
      </c>
      <c r="MC820" s="122" t="s">
        <v>979</v>
      </c>
      <c r="MD820" s="123"/>
    </row>
    <row r="821" spans="338:342">
      <c r="LZ821" s="123"/>
      <c r="MA821" s="121"/>
      <c r="MB821" s="121" t="s">
        <v>1060</v>
      </c>
      <c r="MC821" s="122"/>
      <c r="MD821" s="123"/>
    </row>
    <row r="822" spans="338:342">
      <c r="LZ822" s="120">
        <v>7030</v>
      </c>
      <c r="MA822" s="121" t="s">
        <v>162</v>
      </c>
      <c r="MB822" s="121" t="s">
        <v>1061</v>
      </c>
      <c r="MC822" s="122" t="s">
        <v>240</v>
      </c>
      <c r="MD822" s="123"/>
    </row>
    <row r="823" spans="338:342">
      <c r="LZ823" s="123"/>
      <c r="MA823" s="121"/>
      <c r="MB823" s="121" t="s">
        <v>1062</v>
      </c>
      <c r="MC823" s="122"/>
      <c r="MD823" s="123"/>
    </row>
    <row r="824" spans="338:342">
      <c r="LZ824" s="120">
        <v>7040</v>
      </c>
      <c r="MA824" s="121" t="s">
        <v>299</v>
      </c>
      <c r="MB824" s="121" t="s">
        <v>1063</v>
      </c>
      <c r="MC824" s="122" t="s">
        <v>168</v>
      </c>
      <c r="MD824" s="123"/>
    </row>
    <row r="825" spans="338:342">
      <c r="LZ825" s="123"/>
      <c r="MA825" s="121"/>
      <c r="MB825" s="121" t="s">
        <v>1064</v>
      </c>
      <c r="MC825" s="122"/>
      <c r="MD825" s="123"/>
    </row>
    <row r="826" spans="338:342">
      <c r="LZ826" s="120">
        <v>7050</v>
      </c>
      <c r="MA826" s="121" t="s">
        <v>405</v>
      </c>
      <c r="MB826" s="121" t="s">
        <v>1065</v>
      </c>
      <c r="MC826" s="122" t="s">
        <v>707</v>
      </c>
      <c r="MD826" s="123"/>
    </row>
    <row r="827" spans="338:342">
      <c r="LZ827" s="123"/>
      <c r="MA827" s="121"/>
      <c r="MB827" s="121" t="s">
        <v>1066</v>
      </c>
      <c r="MC827" s="122"/>
      <c r="MD827" s="123"/>
    </row>
    <row r="828" spans="338:342">
      <c r="LZ828" s="120">
        <v>7060</v>
      </c>
      <c r="MA828" s="121" t="s">
        <v>299</v>
      </c>
      <c r="MB828" s="121" t="s">
        <v>1067</v>
      </c>
      <c r="MC828" s="122" t="s">
        <v>312</v>
      </c>
      <c r="MD828" s="123"/>
    </row>
    <row r="829" spans="338:342">
      <c r="LZ829" s="123"/>
      <c r="MA829" s="121"/>
      <c r="MB829" s="121" t="s">
        <v>1068</v>
      </c>
      <c r="MC829" s="122"/>
      <c r="MD829" s="123"/>
    </row>
    <row r="830" spans="338:342">
      <c r="LZ830" s="120">
        <v>7070</v>
      </c>
      <c r="MA830" s="121" t="s">
        <v>196</v>
      </c>
      <c r="MB830" s="121" t="s">
        <v>1069</v>
      </c>
      <c r="MC830" s="122" t="s">
        <v>541</v>
      </c>
      <c r="MD830" s="123"/>
    </row>
    <row r="831" spans="338:342">
      <c r="LZ831" s="123"/>
      <c r="MA831" s="121"/>
      <c r="MB831" s="121" t="s">
        <v>1070</v>
      </c>
      <c r="MC831" s="122"/>
      <c r="MD831" s="123"/>
    </row>
    <row r="832" spans="338:342">
      <c r="LZ832" s="120">
        <v>7080</v>
      </c>
      <c r="MA832" s="121" t="s">
        <v>405</v>
      </c>
      <c r="MB832" s="121" t="s">
        <v>1071</v>
      </c>
      <c r="MC832" s="122" t="s">
        <v>312</v>
      </c>
      <c r="MD832" s="123"/>
    </row>
    <row r="833" spans="338:342">
      <c r="LZ833" s="123"/>
      <c r="MA833" s="121"/>
      <c r="MB833" s="121" t="s">
        <v>1072</v>
      </c>
      <c r="MC833" s="122"/>
      <c r="MD833" s="123"/>
    </row>
    <row r="834" spans="338:342">
      <c r="LZ834" s="120">
        <v>7081</v>
      </c>
      <c r="MA834" s="121" t="s">
        <v>405</v>
      </c>
      <c r="MB834" s="121" t="s">
        <v>1073</v>
      </c>
      <c r="MC834" s="122" t="s">
        <v>240</v>
      </c>
      <c r="MD834" s="123"/>
    </row>
    <row r="835" spans="338:342">
      <c r="LZ835" s="123"/>
      <c r="MA835" s="121"/>
      <c r="MB835" s="121" t="s">
        <v>1074</v>
      </c>
      <c r="MC835" s="122"/>
      <c r="MD835" s="123"/>
    </row>
    <row r="836" spans="338:342">
      <c r="LZ836" s="120">
        <v>7082</v>
      </c>
      <c r="MA836" s="121" t="s">
        <v>405</v>
      </c>
      <c r="MB836" s="121" t="s">
        <v>1075</v>
      </c>
      <c r="MC836" s="122" t="s">
        <v>240</v>
      </c>
      <c r="MD836" s="123"/>
    </row>
    <row r="837" spans="338:342">
      <c r="LZ837" s="123"/>
      <c r="MA837" s="121"/>
      <c r="MB837" s="121" t="s">
        <v>1076</v>
      </c>
      <c r="MC837" s="122"/>
      <c r="MD837" s="123"/>
    </row>
    <row r="838" spans="338:342">
      <c r="LZ838" s="120">
        <v>7083</v>
      </c>
      <c r="MA838" s="121" t="s">
        <v>405</v>
      </c>
      <c r="MB838" s="121" t="s">
        <v>1077</v>
      </c>
      <c r="MC838" s="122" t="s">
        <v>738</v>
      </c>
      <c r="MD838" s="123"/>
    </row>
    <row r="839" spans="338:342">
      <c r="LZ839" s="123"/>
      <c r="MA839" s="121"/>
      <c r="MB839" s="121" t="s">
        <v>1078</v>
      </c>
      <c r="MC839" s="122"/>
      <c r="MD839" s="123"/>
    </row>
    <row r="840" spans="338:342">
      <c r="LZ840" s="120">
        <v>7084</v>
      </c>
      <c r="MA840" s="121" t="s">
        <v>405</v>
      </c>
      <c r="MB840" s="121" t="s">
        <v>1079</v>
      </c>
      <c r="MC840" s="122" t="s">
        <v>267</v>
      </c>
      <c r="MD840" s="123"/>
    </row>
    <row r="841" spans="338:342">
      <c r="LZ841" s="123"/>
      <c r="MA841" s="121"/>
      <c r="MB841" s="121" t="s">
        <v>1080</v>
      </c>
      <c r="MC841" s="122"/>
      <c r="MD841" s="123"/>
    </row>
    <row r="842" spans="338:342">
      <c r="LZ842" s="120">
        <v>7090</v>
      </c>
      <c r="MA842" s="121" t="s">
        <v>196</v>
      </c>
      <c r="MB842" s="121" t="s">
        <v>1081</v>
      </c>
      <c r="MC842" s="122" t="s">
        <v>240</v>
      </c>
      <c r="MD842" s="123"/>
    </row>
    <row r="843" spans="338:342">
      <c r="LZ843" s="123"/>
      <c r="MA843" s="121"/>
      <c r="MB843" s="121" t="s">
        <v>1082</v>
      </c>
      <c r="MC843" s="122"/>
      <c r="MD843" s="123"/>
    </row>
    <row r="844" spans="338:342">
      <c r="LZ844" s="120">
        <v>7091</v>
      </c>
      <c r="MA844" s="121" t="s">
        <v>196</v>
      </c>
      <c r="MB844" s="121" t="s">
        <v>1083</v>
      </c>
      <c r="MC844" s="122" t="s">
        <v>142</v>
      </c>
      <c r="MD844" s="123"/>
    </row>
    <row r="845" spans="338:342">
      <c r="LZ845" s="123"/>
      <c r="MA845" s="121"/>
      <c r="MB845" s="121" t="s">
        <v>1084</v>
      </c>
      <c r="MC845" s="122"/>
      <c r="MD845" s="123"/>
    </row>
    <row r="846" spans="338:342">
      <c r="LZ846" s="120">
        <v>7091</v>
      </c>
      <c r="MA846" s="121" t="s">
        <v>196</v>
      </c>
      <c r="MB846" s="121" t="s">
        <v>1083</v>
      </c>
      <c r="MC846" s="122" t="s">
        <v>142</v>
      </c>
      <c r="MD846" s="123"/>
    </row>
    <row r="847" spans="338:342">
      <c r="LZ847" s="123"/>
      <c r="MA847" s="121"/>
      <c r="MB847" s="121" t="s">
        <v>1084</v>
      </c>
      <c r="MC847" s="122"/>
      <c r="MD847" s="123"/>
    </row>
    <row r="848" spans="338:342" ht="20.399999999999999">
      <c r="LZ848" s="120">
        <v>7092</v>
      </c>
      <c r="MA848" s="121" t="s">
        <v>196</v>
      </c>
      <c r="MB848" s="125" t="s">
        <v>1085</v>
      </c>
      <c r="MC848" s="122" t="s">
        <v>142</v>
      </c>
      <c r="MD848" s="123"/>
    </row>
    <row r="849" spans="338:342">
      <c r="LZ849" s="120">
        <v>7093</v>
      </c>
      <c r="MA849" s="121" t="s">
        <v>196</v>
      </c>
      <c r="MB849" s="121" t="s">
        <v>1086</v>
      </c>
      <c r="MC849" s="122" t="s">
        <v>142</v>
      </c>
      <c r="MD849" s="123"/>
    </row>
    <row r="850" spans="338:342">
      <c r="LZ850" s="120">
        <v>7100</v>
      </c>
      <c r="MA850" s="121" t="s">
        <v>196</v>
      </c>
      <c r="MB850" s="121" t="s">
        <v>1087</v>
      </c>
      <c r="MC850" s="122" t="s">
        <v>982</v>
      </c>
      <c r="MD850" s="123"/>
    </row>
    <row r="851" spans="338:342" ht="20.399999999999999">
      <c r="LZ851" s="120">
        <v>7101</v>
      </c>
      <c r="MA851" s="121" t="s">
        <v>196</v>
      </c>
      <c r="MB851" s="121" t="s">
        <v>1088</v>
      </c>
      <c r="MC851" s="122" t="s">
        <v>201</v>
      </c>
      <c r="MD851" s="123"/>
    </row>
    <row r="852" spans="338:342">
      <c r="LZ852" s="120">
        <v>7110</v>
      </c>
      <c r="MA852" s="121" t="s">
        <v>196</v>
      </c>
      <c r="MB852" s="121" t="s">
        <v>1089</v>
      </c>
      <c r="MC852" s="122" t="s">
        <v>240</v>
      </c>
      <c r="MD852" s="123"/>
    </row>
    <row r="853" spans="338:342" ht="20.399999999999999">
      <c r="LZ853" s="120">
        <v>7130</v>
      </c>
      <c r="MA853" s="121" t="s">
        <v>196</v>
      </c>
      <c r="MB853" s="121" t="s">
        <v>1090</v>
      </c>
      <c r="MC853" s="122" t="s">
        <v>1091</v>
      </c>
      <c r="MD853" s="123"/>
    </row>
    <row r="854" spans="338:342" ht="20.399999999999999">
      <c r="LZ854" s="120">
        <v>7130</v>
      </c>
      <c r="MA854" s="121" t="s">
        <v>196</v>
      </c>
      <c r="MB854" s="121" t="s">
        <v>1090</v>
      </c>
      <c r="MC854" s="122" t="s">
        <v>1091</v>
      </c>
      <c r="MD854" s="123"/>
    </row>
    <row r="855" spans="338:342">
      <c r="LZ855" s="120">
        <v>7140</v>
      </c>
      <c r="MA855" s="121" t="s">
        <v>196</v>
      </c>
      <c r="MB855" s="121" t="s">
        <v>1092</v>
      </c>
      <c r="MC855" s="122" t="s">
        <v>889</v>
      </c>
      <c r="MD855" s="123"/>
    </row>
    <row r="856" spans="338:342">
      <c r="LZ856" s="120">
        <v>7150</v>
      </c>
      <c r="MA856" s="121" t="s">
        <v>299</v>
      </c>
      <c r="MB856" s="121" t="s">
        <v>1093</v>
      </c>
      <c r="MC856" s="122" t="s">
        <v>164</v>
      </c>
      <c r="MD856" s="123"/>
    </row>
    <row r="857" spans="338:342">
      <c r="LZ857" s="120">
        <v>7160</v>
      </c>
      <c r="MA857" s="121" t="s">
        <v>299</v>
      </c>
      <c r="MB857" s="121" t="s">
        <v>1094</v>
      </c>
      <c r="MC857" s="122" t="s">
        <v>172</v>
      </c>
      <c r="MD857" s="123"/>
    </row>
    <row r="858" spans="338:342">
      <c r="LZ858" s="120">
        <v>7170</v>
      </c>
      <c r="MA858" s="121" t="s">
        <v>395</v>
      </c>
      <c r="MB858" s="121" t="s">
        <v>1095</v>
      </c>
      <c r="MC858" s="122" t="s">
        <v>164</v>
      </c>
      <c r="MD858" s="123"/>
    </row>
    <row r="859" spans="338:342" ht="20.399999999999999">
      <c r="LZ859" s="120">
        <v>7180</v>
      </c>
      <c r="MA859" s="121" t="s">
        <v>196</v>
      </c>
      <c r="MB859" s="121" t="s">
        <v>1096</v>
      </c>
      <c r="MC859" s="122" t="s">
        <v>312</v>
      </c>
      <c r="MD859" s="123"/>
    </row>
    <row r="860" spans="338:342">
      <c r="LZ860" s="120">
        <v>7190</v>
      </c>
      <c r="MA860" s="121" t="s">
        <v>196</v>
      </c>
      <c r="MB860" s="121" t="s">
        <v>1097</v>
      </c>
      <c r="MC860" s="122" t="s">
        <v>774</v>
      </c>
      <c r="MD860" s="123"/>
    </row>
    <row r="861" spans="338:342">
      <c r="LZ861" s="120">
        <v>7200</v>
      </c>
      <c r="MA861" s="121" t="s">
        <v>299</v>
      </c>
      <c r="MB861" s="121" t="s">
        <v>1098</v>
      </c>
      <c r="MC861" s="122" t="s">
        <v>738</v>
      </c>
      <c r="MD861" s="123"/>
    </row>
    <row r="862" spans="338:342">
      <c r="LZ862" s="120">
        <v>7210</v>
      </c>
      <c r="MA862" s="121" t="s">
        <v>299</v>
      </c>
      <c r="MB862" s="121" t="s">
        <v>1099</v>
      </c>
      <c r="MC862" s="122" t="s">
        <v>538</v>
      </c>
      <c r="MD862" s="123"/>
    </row>
    <row r="863" spans="338:342">
      <c r="LZ863" s="120">
        <v>7220</v>
      </c>
      <c r="MA863" s="121" t="s">
        <v>162</v>
      </c>
      <c r="MB863" s="121" t="s">
        <v>1100</v>
      </c>
      <c r="MC863" s="122" t="s">
        <v>1101</v>
      </c>
      <c r="MD863" s="123"/>
    </row>
    <row r="864" spans="338:342" ht="20.399999999999999">
      <c r="LZ864" s="120">
        <v>9000</v>
      </c>
      <c r="MA864" s="121" t="s">
        <v>140</v>
      </c>
      <c r="MB864" s="121" t="s">
        <v>1102</v>
      </c>
      <c r="MC864" s="122" t="s">
        <v>142</v>
      </c>
      <c r="MD864" s="123"/>
    </row>
    <row r="865" spans="338:342">
      <c r="LZ865" s="120">
        <v>9001</v>
      </c>
      <c r="MA865" s="121" t="s">
        <v>140</v>
      </c>
      <c r="MB865" s="121" t="s">
        <v>1103</v>
      </c>
      <c r="MC865" s="122" t="s">
        <v>142</v>
      </c>
      <c r="MD865" s="123"/>
    </row>
    <row r="866" spans="338:342">
      <c r="LZ866" s="120">
        <v>9003</v>
      </c>
      <c r="MA866" s="121" t="s">
        <v>140</v>
      </c>
      <c r="MB866" s="121" t="s">
        <v>1104</v>
      </c>
      <c r="MC866" s="122" t="s">
        <v>142</v>
      </c>
      <c r="MD866" s="123"/>
    </row>
    <row r="867" spans="338:342">
      <c r="LZ867" s="120">
        <v>9004</v>
      </c>
      <c r="MA867" s="121" t="s">
        <v>140</v>
      </c>
      <c r="MB867" s="121" t="s">
        <v>1105</v>
      </c>
      <c r="MC867" s="122" t="s">
        <v>142</v>
      </c>
      <c r="MD867" s="123"/>
    </row>
    <row r="868" spans="338:342">
      <c r="LZ868" s="120">
        <v>9005</v>
      </c>
      <c r="MA868" s="121" t="s">
        <v>140</v>
      </c>
      <c r="MB868" s="125" t="s">
        <v>1106</v>
      </c>
      <c r="MC868" s="122" t="s">
        <v>142</v>
      </c>
      <c r="MD868" s="123"/>
    </row>
    <row r="869" spans="338:342">
      <c r="LZ869" s="120">
        <v>9006</v>
      </c>
      <c r="MA869" s="121" t="s">
        <v>140</v>
      </c>
      <c r="MB869" s="125" t="s">
        <v>1107</v>
      </c>
      <c r="MC869" s="122" t="s">
        <v>142</v>
      </c>
      <c r="MD869" s="123"/>
    </row>
    <row r="870" spans="338:342">
      <c r="LZ870" s="120">
        <v>9007</v>
      </c>
      <c r="MA870" s="121" t="s">
        <v>140</v>
      </c>
      <c r="MB870" s="121" t="s">
        <v>1108</v>
      </c>
      <c r="MC870" s="122" t="s">
        <v>142</v>
      </c>
      <c r="MD870" s="123"/>
    </row>
    <row r="871" spans="338:342">
      <c r="LZ871" s="120">
        <v>9008</v>
      </c>
      <c r="MA871" s="121" t="s">
        <v>140</v>
      </c>
      <c r="MB871" s="121" t="s">
        <v>1109</v>
      </c>
      <c r="MC871" s="122" t="s">
        <v>142</v>
      </c>
      <c r="MD871" s="123"/>
    </row>
    <row r="872" spans="338:342">
      <c r="LZ872" s="120">
        <v>9009</v>
      </c>
      <c r="MA872" s="121" t="s">
        <v>140</v>
      </c>
      <c r="MB872" s="121" t="s">
        <v>1110</v>
      </c>
      <c r="MC872" s="122" t="s">
        <v>142</v>
      </c>
      <c r="MD872" s="123"/>
    </row>
    <row r="873" spans="338:342">
      <c r="LZ873" s="120">
        <v>9010</v>
      </c>
      <c r="MA873" s="121" t="s">
        <v>291</v>
      </c>
      <c r="MB873" s="121" t="s">
        <v>1111</v>
      </c>
      <c r="MC873" s="122" t="s">
        <v>142</v>
      </c>
      <c r="MD873" s="123"/>
    </row>
    <row r="874" spans="338:342">
      <c r="LZ874" s="120">
        <v>9011</v>
      </c>
      <c r="MA874" s="121" t="s">
        <v>291</v>
      </c>
      <c r="MB874" s="121" t="s">
        <v>1112</v>
      </c>
      <c r="MC874" s="122" t="s">
        <v>142</v>
      </c>
      <c r="MD874" s="123"/>
    </row>
    <row r="875" spans="338:342" ht="20.399999999999999">
      <c r="LZ875" s="120">
        <v>9012</v>
      </c>
      <c r="MA875" s="121" t="s">
        <v>291</v>
      </c>
      <c r="MB875" s="125" t="s">
        <v>1113</v>
      </c>
      <c r="MC875" s="122" t="s">
        <v>142</v>
      </c>
      <c r="MD875" s="123"/>
    </row>
    <row r="876" spans="338:342">
      <c r="LZ876" s="120">
        <v>9013</v>
      </c>
      <c r="MA876" s="121" t="s">
        <v>291</v>
      </c>
      <c r="MB876" s="121" t="s">
        <v>1114</v>
      </c>
      <c r="MC876" s="122" t="s">
        <v>142</v>
      </c>
      <c r="MD876" s="123"/>
    </row>
    <row r="877" spans="338:342">
      <c r="LZ877" s="120">
        <v>9014</v>
      </c>
      <c r="MA877" s="121" t="s">
        <v>291</v>
      </c>
      <c r="MB877" s="121" t="s">
        <v>1115</v>
      </c>
      <c r="MC877" s="122" t="s">
        <v>142</v>
      </c>
      <c r="MD877" s="123"/>
    </row>
    <row r="878" spans="338:342">
      <c r="LZ878" s="123"/>
      <c r="MA878" s="121"/>
      <c r="MB878" s="125" t="s">
        <v>1116</v>
      </c>
      <c r="MC878" s="122"/>
      <c r="MD878" s="123"/>
    </row>
    <row r="879" spans="338:342">
      <c r="LZ879" s="120">
        <v>9015</v>
      </c>
      <c r="MA879" s="121" t="s">
        <v>291</v>
      </c>
      <c r="MB879" s="121" t="s">
        <v>1117</v>
      </c>
      <c r="MC879" s="122" t="s">
        <v>142</v>
      </c>
      <c r="MD879" s="123"/>
    </row>
    <row r="880" spans="338:342">
      <c r="LZ880" s="123"/>
      <c r="MA880" s="121"/>
      <c r="MB880" s="125" t="s">
        <v>1118</v>
      </c>
      <c r="MC880" s="122"/>
      <c r="MD880" s="123"/>
    </row>
    <row r="881" spans="338:342">
      <c r="LZ881" s="120">
        <v>9016</v>
      </c>
      <c r="MA881" s="121" t="s">
        <v>291</v>
      </c>
      <c r="MB881" s="121" t="s">
        <v>1119</v>
      </c>
      <c r="MC881" s="122" t="s">
        <v>142</v>
      </c>
      <c r="MD881" s="123"/>
    </row>
    <row r="882" spans="338:342">
      <c r="LZ882" s="123"/>
      <c r="MA882" s="121"/>
      <c r="MB882" s="121" t="s">
        <v>1120</v>
      </c>
      <c r="MC882" s="122"/>
      <c r="MD882" s="123"/>
    </row>
    <row r="883" spans="338:342">
      <c r="LZ883" s="120">
        <v>9017</v>
      </c>
      <c r="MA883" s="121" t="s">
        <v>291</v>
      </c>
      <c r="MB883" s="121" t="s">
        <v>1121</v>
      </c>
      <c r="MC883" s="122" t="s">
        <v>142</v>
      </c>
      <c r="MD883" s="123"/>
    </row>
    <row r="884" spans="338:342">
      <c r="LZ884" s="123"/>
      <c r="MA884" s="121"/>
      <c r="MB884" s="121" t="s">
        <v>1122</v>
      </c>
      <c r="MC884" s="122"/>
      <c r="MD884" s="123"/>
    </row>
    <row r="885" spans="338:342">
      <c r="LZ885" s="120">
        <v>9018</v>
      </c>
      <c r="MA885" s="121" t="s">
        <v>291</v>
      </c>
      <c r="MB885" s="121" t="s">
        <v>1123</v>
      </c>
      <c r="MC885" s="122" t="s">
        <v>142</v>
      </c>
      <c r="MD885" s="123"/>
    </row>
    <row r="886" spans="338:342">
      <c r="LZ886" s="123"/>
      <c r="MA886" s="121"/>
      <c r="MB886" s="121" t="s">
        <v>1124</v>
      </c>
      <c r="MC886" s="122"/>
      <c r="MD886" s="123"/>
    </row>
    <row r="887" spans="338:342">
      <c r="LZ887" s="120">
        <v>9019</v>
      </c>
      <c r="MA887" s="121" t="s">
        <v>291</v>
      </c>
      <c r="MB887" s="121" t="s">
        <v>292</v>
      </c>
      <c r="MC887" s="122" t="s">
        <v>142</v>
      </c>
      <c r="MD887" s="123"/>
    </row>
    <row r="888" spans="338:342">
      <c r="LZ888" s="123"/>
      <c r="MA888" s="121"/>
      <c r="MB888" s="121" t="s">
        <v>1125</v>
      </c>
      <c r="MC888" s="122"/>
      <c r="MD888" s="123"/>
    </row>
    <row r="889" spans="338:342">
      <c r="LZ889" s="120">
        <v>9020</v>
      </c>
      <c r="MA889" s="121" t="s">
        <v>291</v>
      </c>
      <c r="MB889" s="121" t="s">
        <v>1126</v>
      </c>
      <c r="MC889" s="122" t="s">
        <v>142</v>
      </c>
      <c r="MD889" s="123"/>
    </row>
    <row r="890" spans="338:342">
      <c r="LZ890" s="123"/>
      <c r="MA890" s="121"/>
      <c r="MB890" s="121" t="s">
        <v>1127</v>
      </c>
      <c r="MC890" s="122"/>
      <c r="MD890" s="123"/>
    </row>
    <row r="891" spans="338:342">
      <c r="LZ891" s="120">
        <v>9021</v>
      </c>
      <c r="MA891" s="121" t="s">
        <v>291</v>
      </c>
      <c r="MB891" s="121" t="s">
        <v>1128</v>
      </c>
      <c r="MC891" s="122" t="s">
        <v>142</v>
      </c>
      <c r="MD891" s="123"/>
    </row>
    <row r="892" spans="338:342">
      <c r="LZ892" s="123"/>
      <c r="MA892" s="121"/>
      <c r="MB892" s="121" t="s">
        <v>1129</v>
      </c>
      <c r="MC892" s="122"/>
      <c r="MD892" s="123"/>
    </row>
    <row r="893" spans="338:342">
      <c r="LZ893" s="120">
        <v>9022</v>
      </c>
      <c r="MA893" s="121" t="s">
        <v>140</v>
      </c>
      <c r="MB893" s="121" t="s">
        <v>1130</v>
      </c>
      <c r="MC893" s="122" t="s">
        <v>142</v>
      </c>
      <c r="MD893" s="123"/>
    </row>
    <row r="894" spans="338:342">
      <c r="LZ894" s="123"/>
      <c r="MA894" s="121"/>
      <c r="MB894" s="121" t="s">
        <v>1130</v>
      </c>
      <c r="MC894" s="122"/>
      <c r="MD894" s="123"/>
    </row>
    <row r="895" spans="338:342">
      <c r="LZ895" s="120">
        <v>9025</v>
      </c>
      <c r="MA895" s="121" t="s">
        <v>140</v>
      </c>
      <c r="MB895" s="121" t="s">
        <v>1131</v>
      </c>
      <c r="MC895" s="122" t="s">
        <v>142</v>
      </c>
      <c r="MD895" s="123"/>
    </row>
    <row r="896" spans="338:342">
      <c r="LZ896" s="123"/>
      <c r="MA896" s="121"/>
      <c r="MB896" s="121" t="s">
        <v>1131</v>
      </c>
      <c r="MC896" s="122"/>
      <c r="MD896" s="123"/>
    </row>
    <row r="897" spans="338:342">
      <c r="LZ897" s="120">
        <v>9026</v>
      </c>
      <c r="MA897" s="121" t="s">
        <v>140</v>
      </c>
      <c r="MB897" s="121" t="s">
        <v>1132</v>
      </c>
      <c r="MC897" s="122" t="s">
        <v>142</v>
      </c>
      <c r="MD897" s="123"/>
    </row>
    <row r="898" spans="338:342">
      <c r="LZ898" s="123"/>
      <c r="MA898" s="121"/>
      <c r="MB898" s="121" t="s">
        <v>1133</v>
      </c>
      <c r="MC898" s="122"/>
      <c r="MD898" s="123"/>
    </row>
    <row r="899" spans="338:342">
      <c r="LZ899" s="120">
        <v>9053</v>
      </c>
      <c r="MA899" s="121" t="s">
        <v>140</v>
      </c>
      <c r="MB899" s="121" t="s">
        <v>1131</v>
      </c>
      <c r="MC899" s="122" t="s">
        <v>142</v>
      </c>
      <c r="MD899" s="123"/>
    </row>
    <row r="900" spans="338:342">
      <c r="LZ900" s="123"/>
      <c r="MA900" s="121"/>
      <c r="MB900" s="121" t="s">
        <v>1134</v>
      </c>
      <c r="MC900" s="122"/>
      <c r="MD900" s="123"/>
    </row>
    <row r="901" spans="338:342">
      <c r="LZ901" s="120">
        <v>9303</v>
      </c>
      <c r="MA901" s="121" t="s">
        <v>140</v>
      </c>
      <c r="MB901" s="121" t="s">
        <v>1135</v>
      </c>
      <c r="MC901" s="122" t="s">
        <v>1136</v>
      </c>
      <c r="MD901" s="123"/>
    </row>
    <row r="902" spans="338:342">
      <c r="LZ902" s="123"/>
      <c r="MA902" s="121"/>
      <c r="MB902" s="121" t="s">
        <v>1137</v>
      </c>
      <c r="MC902" s="122"/>
      <c r="MD902" s="123"/>
    </row>
    <row r="903" spans="338:342">
      <c r="LZ903" s="120">
        <v>9403</v>
      </c>
      <c r="MA903" s="121" t="s">
        <v>140</v>
      </c>
      <c r="MB903" s="121" t="s">
        <v>1138</v>
      </c>
      <c r="MC903" s="122" t="s">
        <v>1136</v>
      </c>
      <c r="MD903" s="123"/>
    </row>
    <row r="904" spans="338:342">
      <c r="LZ904" s="123"/>
      <c r="MA904" s="121"/>
      <c r="MB904" s="121" t="s">
        <v>1139</v>
      </c>
      <c r="MC904" s="122"/>
      <c r="MD904" s="123"/>
    </row>
    <row r="905" spans="338:342">
      <c r="LZ905" s="120">
        <v>9503</v>
      </c>
      <c r="MA905" s="121" t="s">
        <v>405</v>
      </c>
      <c r="MB905" s="121" t="s">
        <v>1140</v>
      </c>
      <c r="MC905" s="122" t="s">
        <v>1136</v>
      </c>
      <c r="MD905" s="123"/>
    </row>
    <row r="906" spans="338:342">
      <c r="LZ906" s="123"/>
      <c r="MA906" s="121"/>
      <c r="MB906" s="121" t="s">
        <v>1141</v>
      </c>
      <c r="MC906" s="122"/>
      <c r="MD906" s="123"/>
    </row>
    <row r="907" spans="338:342">
      <c r="LZ907" s="120">
        <v>9603</v>
      </c>
      <c r="MA907" s="121" t="s">
        <v>140</v>
      </c>
      <c r="MB907" s="121" t="s">
        <v>1142</v>
      </c>
      <c r="MC907" s="122" t="s">
        <v>1136</v>
      </c>
      <c r="MD907" s="123"/>
    </row>
    <row r="908" spans="338:342">
      <c r="LZ908" s="123"/>
      <c r="MA908" s="121"/>
      <c r="MB908" s="121" t="s">
        <v>1143</v>
      </c>
      <c r="MC908" s="122"/>
      <c r="MD908" s="123"/>
    </row>
    <row r="909" spans="338:342">
      <c r="LZ909" s="120">
        <v>9703</v>
      </c>
      <c r="MA909" s="121" t="s">
        <v>140</v>
      </c>
      <c r="MB909" s="121" t="s">
        <v>1144</v>
      </c>
      <c r="MC909" s="122" t="s">
        <v>1136</v>
      </c>
      <c r="MD909" s="123"/>
    </row>
    <row r="910" spans="338:342">
      <c r="LZ910" s="123"/>
      <c r="MA910" s="121"/>
      <c r="MB910" s="121" t="s">
        <v>1145</v>
      </c>
      <c r="MC910" s="122"/>
      <c r="MD910" s="123"/>
    </row>
    <row r="911" spans="338:342">
      <c r="LZ911" s="120">
        <v>9901</v>
      </c>
      <c r="MA911" s="121" t="s">
        <v>140</v>
      </c>
      <c r="MB911" s="121" t="s">
        <v>1146</v>
      </c>
      <c r="MC911" s="122" t="s">
        <v>142</v>
      </c>
      <c r="MD911" s="123"/>
    </row>
    <row r="912" spans="338:342">
      <c r="LZ912" s="123"/>
      <c r="MA912" s="121"/>
      <c r="MB912" s="121" t="s">
        <v>1147</v>
      </c>
      <c r="MC912" s="122"/>
      <c r="MD912" s="123"/>
    </row>
    <row r="913" spans="338:342">
      <c r="LZ913" s="123"/>
      <c r="MA913" s="121"/>
      <c r="MB913" s="121" t="s">
        <v>1148</v>
      </c>
      <c r="MC913" s="122"/>
      <c r="MD913" s="123"/>
    </row>
    <row r="914" spans="338:342" ht="20.399999999999999">
      <c r="LZ914" s="123"/>
      <c r="MA914" s="121"/>
      <c r="MB914" s="121" t="s">
        <v>1149</v>
      </c>
      <c r="MC914" s="122"/>
      <c r="MD914" s="123"/>
    </row>
    <row r="915" spans="338:342" ht="20.399999999999999">
      <c r="LZ915" s="123"/>
      <c r="MA915" s="121"/>
      <c r="MB915" s="121" t="s">
        <v>1150</v>
      </c>
      <c r="MC915" s="122"/>
      <c r="MD915" s="123"/>
    </row>
    <row r="916" spans="338:342">
      <c r="LZ916" s="123"/>
      <c r="MA916" s="121"/>
      <c r="MB916" s="121" t="s">
        <v>1151</v>
      </c>
      <c r="MC916" s="122"/>
      <c r="MD916" s="123"/>
    </row>
    <row r="917" spans="338:342">
      <c r="LZ917" s="120">
        <v>9902</v>
      </c>
      <c r="MA917" s="121" t="s">
        <v>140</v>
      </c>
      <c r="MB917" s="121" t="s">
        <v>1152</v>
      </c>
      <c r="MC917" s="122" t="s">
        <v>142</v>
      </c>
      <c r="MD917" s="123"/>
    </row>
    <row r="918" spans="338:342">
      <c r="LZ918" s="123"/>
      <c r="MA918" s="121"/>
      <c r="MB918" s="121" t="s">
        <v>1147</v>
      </c>
      <c r="MC918" s="122"/>
      <c r="MD918" s="123"/>
    </row>
    <row r="919" spans="338:342" ht="20.399999999999999">
      <c r="LZ919" s="123"/>
      <c r="MA919" s="121"/>
      <c r="MB919" s="121" t="s">
        <v>1153</v>
      </c>
      <c r="MC919" s="122"/>
      <c r="MD919" s="123"/>
    </row>
    <row r="920" spans="338:342" ht="20.399999999999999">
      <c r="LZ920" s="123"/>
      <c r="MA920" s="121"/>
      <c r="MB920" s="121" t="s">
        <v>1154</v>
      </c>
      <c r="MC920" s="122"/>
      <c r="MD920" s="123"/>
    </row>
    <row r="921" spans="338:342">
      <c r="LZ921" s="123"/>
      <c r="MA921" s="121"/>
      <c r="MB921" s="121" t="s">
        <v>1155</v>
      </c>
      <c r="MC921" s="122"/>
      <c r="MD921" s="123"/>
    </row>
    <row r="922" spans="338:342">
      <c r="LZ922" s="123"/>
      <c r="MA922" s="121"/>
      <c r="MB922" s="121" t="s">
        <v>1156</v>
      </c>
      <c r="MC922" s="122"/>
      <c r="MD922" s="123"/>
    </row>
    <row r="923" spans="338:342">
      <c r="LZ923" s="120">
        <v>9999</v>
      </c>
      <c r="MA923" s="121" t="s">
        <v>1157</v>
      </c>
      <c r="MB923" s="121" t="s">
        <v>1158</v>
      </c>
      <c r="MC923" s="122" t="s">
        <v>142</v>
      </c>
      <c r="MD923" s="123"/>
    </row>
    <row r="924" spans="338:342" ht="30.6">
      <c r="LZ924" s="126">
        <v>8490</v>
      </c>
      <c r="MA924" s="127" t="s">
        <v>1159</v>
      </c>
      <c r="MB924" s="127" t="s">
        <v>1160</v>
      </c>
      <c r="MC924" s="128">
        <v>8.25</v>
      </c>
      <c r="MD924" s="129" t="s">
        <v>1161</v>
      </c>
    </row>
    <row r="925" spans="338:342" ht="30.6">
      <c r="LZ925" s="126">
        <v>8491</v>
      </c>
      <c r="MA925" s="127" t="s">
        <v>1159</v>
      </c>
      <c r="MB925" s="127" t="s">
        <v>1160</v>
      </c>
      <c r="MC925" s="128">
        <v>12.25</v>
      </c>
      <c r="MD925" s="129" t="s">
        <v>1161</v>
      </c>
    </row>
    <row r="926" spans="338:342" ht="30.6">
      <c r="LZ926" s="126">
        <v>8492</v>
      </c>
      <c r="MA926" s="127" t="s">
        <v>1159</v>
      </c>
      <c r="MB926" s="127" t="s">
        <v>1160</v>
      </c>
      <c r="MC926" s="128">
        <v>21</v>
      </c>
      <c r="MD926" s="129" t="s">
        <v>1161</v>
      </c>
    </row>
    <row r="927" spans="338:342" ht="40.799999999999997">
      <c r="LZ927" s="126">
        <v>8493</v>
      </c>
      <c r="MA927" s="127" t="s">
        <v>1159</v>
      </c>
      <c r="MB927" s="127" t="s">
        <v>1160</v>
      </c>
      <c r="MC927" s="128">
        <v>55</v>
      </c>
      <c r="MD927" s="129" t="s">
        <v>1162</v>
      </c>
    </row>
    <row r="928" spans="338:342" ht="40.799999999999997">
      <c r="LZ928" s="126">
        <v>8494</v>
      </c>
      <c r="MA928" s="127" t="s">
        <v>1159</v>
      </c>
      <c r="MB928" s="127" t="s">
        <v>1160</v>
      </c>
      <c r="MC928" s="128">
        <v>67</v>
      </c>
      <c r="MD928" s="129" t="s">
        <v>1162</v>
      </c>
    </row>
    <row r="929" spans="338:342" ht="71.400000000000006">
      <c r="LZ929" s="126">
        <v>8486</v>
      </c>
      <c r="MA929" s="127" t="s">
        <v>1159</v>
      </c>
      <c r="MB929" s="127" t="s">
        <v>1163</v>
      </c>
      <c r="MC929" s="128">
        <v>6.75</v>
      </c>
      <c r="MD929" s="129" t="s">
        <v>1164</v>
      </c>
    </row>
    <row r="930" spans="338:342" ht="71.400000000000006">
      <c r="LZ930" s="126">
        <v>8487</v>
      </c>
      <c r="MA930" s="127" t="s">
        <v>1159</v>
      </c>
      <c r="MB930" s="127" t="s">
        <v>1163</v>
      </c>
      <c r="MC930" s="128">
        <v>12.25</v>
      </c>
      <c r="MD930" s="129" t="s">
        <v>1164</v>
      </c>
    </row>
    <row r="931" spans="338:342" ht="71.400000000000006">
      <c r="LZ931" s="126">
        <v>8488</v>
      </c>
      <c r="MA931" s="127" t="s">
        <v>1159</v>
      </c>
      <c r="MB931" s="127" t="s">
        <v>1163</v>
      </c>
      <c r="MC931" s="128">
        <v>23.5</v>
      </c>
      <c r="MD931" s="129" t="s">
        <v>1164</v>
      </c>
    </row>
    <row r="932" spans="338:342" ht="71.400000000000006">
      <c r="LZ932" s="126">
        <v>8489</v>
      </c>
      <c r="MA932" s="127" t="s">
        <v>1159</v>
      </c>
      <c r="MB932" s="127" t="s">
        <v>1163</v>
      </c>
      <c r="MC932" s="128">
        <v>34</v>
      </c>
      <c r="MD932" s="129" t="s">
        <v>1164</v>
      </c>
    </row>
    <row r="933" spans="338:342" ht="20.399999999999999">
      <c r="LZ933" s="126">
        <v>8010</v>
      </c>
      <c r="MA933" s="127" t="s">
        <v>1159</v>
      </c>
      <c r="MB933" s="127" t="s">
        <v>1165</v>
      </c>
      <c r="MC933" s="128">
        <v>1.5</v>
      </c>
      <c r="MD933" s="129" t="s">
        <v>1166</v>
      </c>
    </row>
    <row r="934" spans="338:342" ht="20.399999999999999">
      <c r="LZ934" s="126">
        <v>8011</v>
      </c>
      <c r="MA934" s="127" t="s">
        <v>1159</v>
      </c>
      <c r="MB934" s="127" t="s">
        <v>1165</v>
      </c>
      <c r="MC934" s="128">
        <v>7</v>
      </c>
      <c r="MD934" s="129" t="s">
        <v>1166</v>
      </c>
    </row>
    <row r="935" spans="338:342" ht="20.399999999999999">
      <c r="LZ935" s="126">
        <v>8012</v>
      </c>
      <c r="MA935" s="127" t="s">
        <v>1159</v>
      </c>
      <c r="MB935" s="127" t="s">
        <v>1165</v>
      </c>
      <c r="MC935" s="128">
        <v>9.25</v>
      </c>
      <c r="MD935" s="129" t="s">
        <v>1166</v>
      </c>
    </row>
    <row r="936" spans="338:342" ht="20.399999999999999">
      <c r="LZ936" s="126">
        <v>8013</v>
      </c>
      <c r="MA936" s="127" t="s">
        <v>1159</v>
      </c>
      <c r="MB936" s="127" t="s">
        <v>1165</v>
      </c>
      <c r="MC936" s="128">
        <v>20</v>
      </c>
      <c r="MD936" s="129" t="s">
        <v>1166</v>
      </c>
    </row>
    <row r="937" spans="338:342" ht="20.399999999999999">
      <c r="LZ937" s="126">
        <v>8014</v>
      </c>
      <c r="MA937" s="127" t="s">
        <v>1159</v>
      </c>
      <c r="MB937" s="127" t="s">
        <v>1165</v>
      </c>
      <c r="MC937" s="128">
        <v>27.5</v>
      </c>
      <c r="MD937" s="129" t="s">
        <v>1166</v>
      </c>
    </row>
    <row r="938" spans="338:342" ht="20.399999999999999">
      <c r="LZ938" s="126">
        <v>8015</v>
      </c>
      <c r="MA938" s="127" t="s">
        <v>1159</v>
      </c>
      <c r="MB938" s="127" t="s">
        <v>1165</v>
      </c>
      <c r="MC938" s="128">
        <v>45.5</v>
      </c>
      <c r="MD938" s="129" t="s">
        <v>1166</v>
      </c>
    </row>
    <row r="939" spans="338:342" ht="20.399999999999999">
      <c r="LZ939" s="126">
        <v>8016</v>
      </c>
      <c r="MA939" s="127" t="s">
        <v>1159</v>
      </c>
      <c r="MB939" s="127" t="s">
        <v>1165</v>
      </c>
      <c r="MC939" s="128">
        <v>51</v>
      </c>
      <c r="MD939" s="129" t="s">
        <v>1166</v>
      </c>
    </row>
    <row r="940" spans="338:342" ht="20.399999999999999">
      <c r="LZ940" s="126">
        <v>8017</v>
      </c>
      <c r="MA940" s="127" t="s">
        <v>1159</v>
      </c>
      <c r="MB940" s="127" t="s">
        <v>1165</v>
      </c>
      <c r="MC940" s="128">
        <v>80</v>
      </c>
      <c r="MD940" s="129" t="s">
        <v>1166</v>
      </c>
    </row>
    <row r="941" spans="338:342">
      <c r="LZ941" s="126">
        <v>8040</v>
      </c>
      <c r="MA941" s="127" t="s">
        <v>1159</v>
      </c>
      <c r="MB941" s="127" t="s">
        <v>1167</v>
      </c>
      <c r="MC941" s="128">
        <v>25.5</v>
      </c>
      <c r="MD941" s="129"/>
    </row>
    <row r="942" spans="338:342">
      <c r="LZ942" s="126">
        <v>8041</v>
      </c>
      <c r="MA942" s="127" t="s">
        <v>1159</v>
      </c>
      <c r="MB942" s="127" t="s">
        <v>1167</v>
      </c>
      <c r="MC942" s="128">
        <v>32.5</v>
      </c>
      <c r="MD942" s="129"/>
    </row>
    <row r="943" spans="338:342">
      <c r="LZ943" s="126">
        <v>8060</v>
      </c>
      <c r="MA943" s="127" t="s">
        <v>1159</v>
      </c>
      <c r="MB943" s="127" t="s">
        <v>1168</v>
      </c>
      <c r="MC943" s="128">
        <v>1.3</v>
      </c>
      <c r="MD943" s="129"/>
    </row>
    <row r="944" spans="338:342">
      <c r="LZ944" s="126">
        <v>8061</v>
      </c>
      <c r="MA944" s="127" t="s">
        <v>1159</v>
      </c>
      <c r="MB944" s="127" t="s">
        <v>1168</v>
      </c>
      <c r="MC944" s="128">
        <v>3.5</v>
      </c>
      <c r="MD944" s="129"/>
    </row>
    <row r="945" spans="338:342" ht="91.8">
      <c r="LZ945" s="126">
        <v>8062</v>
      </c>
      <c r="MA945" s="127" t="s">
        <v>1159</v>
      </c>
      <c r="MB945" s="127" t="s">
        <v>1169</v>
      </c>
      <c r="MC945" s="128">
        <v>1.3</v>
      </c>
      <c r="MD945" s="129" t="s">
        <v>1170</v>
      </c>
    </row>
    <row r="946" spans="338:342" ht="91.8">
      <c r="LZ946" s="126">
        <v>8063</v>
      </c>
      <c r="MA946" s="127" t="s">
        <v>1159</v>
      </c>
      <c r="MB946" s="127" t="s">
        <v>1171</v>
      </c>
      <c r="MC946" s="128">
        <v>29</v>
      </c>
      <c r="MD946" s="129" t="s">
        <v>1172</v>
      </c>
    </row>
    <row r="947" spans="338:342" ht="20.399999999999999">
      <c r="LZ947" s="126">
        <v>8070</v>
      </c>
      <c r="MA947" s="127" t="s">
        <v>1173</v>
      </c>
      <c r="MB947" s="127" t="s">
        <v>1174</v>
      </c>
      <c r="MC947" s="128">
        <v>0.5</v>
      </c>
      <c r="MD947" s="129" t="s">
        <v>1175</v>
      </c>
    </row>
    <row r="948" spans="338:342" ht="20.399999999999999">
      <c r="LZ948" s="126">
        <v>8071</v>
      </c>
      <c r="MA948" s="127" t="s">
        <v>1159</v>
      </c>
      <c r="MB948" s="127" t="s">
        <v>1174</v>
      </c>
      <c r="MC948" s="128">
        <v>13</v>
      </c>
      <c r="MD948" s="129" t="s">
        <v>1176</v>
      </c>
    </row>
    <row r="949" spans="338:342">
      <c r="LZ949" s="126">
        <v>8072</v>
      </c>
      <c r="MA949" s="127" t="s">
        <v>1173</v>
      </c>
      <c r="MB949" s="127" t="s">
        <v>1177</v>
      </c>
      <c r="MC949" s="128">
        <v>0.6</v>
      </c>
      <c r="MD949" s="129" t="s">
        <v>1178</v>
      </c>
    </row>
    <row r="950" spans="338:342" ht="30.6">
      <c r="LZ950" s="126">
        <v>8073</v>
      </c>
      <c r="MA950" s="127" t="s">
        <v>1159</v>
      </c>
      <c r="MB950" s="127" t="s">
        <v>1177</v>
      </c>
      <c r="MC950" s="128">
        <v>16.25</v>
      </c>
      <c r="MD950" s="129" t="s">
        <v>1179</v>
      </c>
    </row>
    <row r="951" spans="338:342">
      <c r="LZ951" s="126">
        <v>8110</v>
      </c>
      <c r="MA951" s="127" t="s">
        <v>1159</v>
      </c>
      <c r="MB951" s="127" t="s">
        <v>1180</v>
      </c>
      <c r="MC951" s="128">
        <v>34</v>
      </c>
      <c r="MD951" s="129"/>
    </row>
    <row r="952" spans="338:342">
      <c r="LZ952" s="126">
        <v>8111</v>
      </c>
      <c r="MA952" s="127" t="s">
        <v>1159</v>
      </c>
      <c r="MB952" s="127" t="s">
        <v>1180</v>
      </c>
      <c r="MC952" s="128">
        <v>49</v>
      </c>
      <c r="MD952" s="129"/>
    </row>
    <row r="953" spans="338:342">
      <c r="LZ953" s="126">
        <v>8112</v>
      </c>
      <c r="MA953" s="127" t="s">
        <v>1159</v>
      </c>
      <c r="MB953" s="127" t="s">
        <v>1180</v>
      </c>
      <c r="MC953" s="128">
        <v>60</v>
      </c>
      <c r="MD953" s="129"/>
    </row>
    <row r="954" spans="338:342">
      <c r="LZ954" s="126">
        <v>8113</v>
      </c>
      <c r="MA954" s="127" t="s">
        <v>1159</v>
      </c>
      <c r="MB954" s="127" t="s">
        <v>1180</v>
      </c>
      <c r="MC954" s="128">
        <v>75</v>
      </c>
      <c r="MD954" s="129"/>
    </row>
    <row r="955" spans="338:342" ht="20.399999999999999">
      <c r="LZ955" s="126">
        <v>8050</v>
      </c>
      <c r="MA955" s="127" t="s">
        <v>1159</v>
      </c>
      <c r="MB955" s="127" t="s">
        <v>1181</v>
      </c>
      <c r="MC955" s="128">
        <v>3.15</v>
      </c>
      <c r="MD955" s="129" t="s">
        <v>1182</v>
      </c>
    </row>
    <row r="956" spans="338:342" ht="20.399999999999999">
      <c r="LZ956" s="126">
        <v>8051</v>
      </c>
      <c r="MA956" s="127" t="s">
        <v>1159</v>
      </c>
      <c r="MB956" s="127" t="s">
        <v>1183</v>
      </c>
      <c r="MC956" s="128">
        <v>8.5</v>
      </c>
      <c r="MD956" s="129" t="s">
        <v>1182</v>
      </c>
    </row>
    <row r="957" spans="338:342">
      <c r="LZ957" s="126">
        <v>8133</v>
      </c>
      <c r="MA957" s="127" t="s">
        <v>1159</v>
      </c>
      <c r="MB957" s="127" t="s">
        <v>1184</v>
      </c>
      <c r="MC957" s="128">
        <v>150</v>
      </c>
      <c r="MD957" s="129" t="s">
        <v>1185</v>
      </c>
    </row>
    <row r="958" spans="338:342">
      <c r="LZ958" s="126">
        <v>8134</v>
      </c>
      <c r="MA958" s="127" t="s">
        <v>1159</v>
      </c>
      <c r="MB958" s="127" t="s">
        <v>1184</v>
      </c>
      <c r="MC958" s="128">
        <v>200</v>
      </c>
      <c r="MD958" s="129" t="s">
        <v>1185</v>
      </c>
    </row>
    <row r="959" spans="338:342">
      <c r="LZ959" s="126">
        <v>8135</v>
      </c>
      <c r="MA959" s="127" t="s">
        <v>1159</v>
      </c>
      <c r="MB959" s="127" t="s">
        <v>1184</v>
      </c>
      <c r="MC959" s="128">
        <v>250</v>
      </c>
      <c r="MD959" s="129" t="s">
        <v>1185</v>
      </c>
    </row>
    <row r="960" spans="338:342">
      <c r="LZ960" s="126">
        <v>8136</v>
      </c>
      <c r="MA960" s="127" t="s">
        <v>1159</v>
      </c>
      <c r="MB960" s="127" t="s">
        <v>1184</v>
      </c>
      <c r="MC960" s="128">
        <v>300</v>
      </c>
      <c r="MD960" s="129" t="s">
        <v>1185</v>
      </c>
    </row>
    <row r="961" spans="338:342">
      <c r="LZ961" s="126">
        <v>8130</v>
      </c>
      <c r="MA961" s="127" t="s">
        <v>1159</v>
      </c>
      <c r="MB961" s="127" t="s">
        <v>1186</v>
      </c>
      <c r="MC961" s="128">
        <v>0.85</v>
      </c>
      <c r="MD961" s="129" t="s">
        <v>1187</v>
      </c>
    </row>
    <row r="962" spans="338:342">
      <c r="LZ962" s="126">
        <v>8131</v>
      </c>
      <c r="MA962" s="127" t="s">
        <v>1159</v>
      </c>
      <c r="MB962" s="127" t="s">
        <v>1188</v>
      </c>
      <c r="MC962" s="128">
        <v>14</v>
      </c>
      <c r="MD962" s="129" t="s">
        <v>1189</v>
      </c>
    </row>
    <row r="963" spans="338:342" ht="30.6">
      <c r="LZ963" s="126">
        <v>8132</v>
      </c>
      <c r="MA963" s="127" t="s">
        <v>1159</v>
      </c>
      <c r="MB963" s="127" t="s">
        <v>1190</v>
      </c>
      <c r="MC963" s="128">
        <v>26</v>
      </c>
      <c r="MD963" s="129" t="s">
        <v>1191</v>
      </c>
    </row>
    <row r="964" spans="338:342">
      <c r="LZ964" s="126">
        <v>8120</v>
      </c>
      <c r="MA964" s="127" t="s">
        <v>1159</v>
      </c>
      <c r="MB964" s="127" t="s">
        <v>1192</v>
      </c>
      <c r="MC964" s="128">
        <v>250</v>
      </c>
      <c r="MD964" s="129" t="s">
        <v>1193</v>
      </c>
    </row>
    <row r="965" spans="338:342">
      <c r="LZ965" s="126">
        <v>8121</v>
      </c>
      <c r="MA965" s="127" t="s">
        <v>1159</v>
      </c>
      <c r="MB965" s="127" t="s">
        <v>1192</v>
      </c>
      <c r="MC965" s="128">
        <v>300</v>
      </c>
      <c r="MD965" s="129" t="s">
        <v>1193</v>
      </c>
    </row>
    <row r="966" spans="338:342">
      <c r="LZ966" s="126">
        <v>8122</v>
      </c>
      <c r="MA966" s="127" t="s">
        <v>1159</v>
      </c>
      <c r="MB966" s="127" t="s">
        <v>1192</v>
      </c>
      <c r="MC966" s="128">
        <v>450</v>
      </c>
      <c r="MD966" s="129" t="s">
        <v>1193</v>
      </c>
    </row>
    <row r="967" spans="338:342">
      <c r="LZ967" s="126">
        <v>8123</v>
      </c>
      <c r="MA967" s="127" t="s">
        <v>1159</v>
      </c>
      <c r="MB967" s="127" t="s">
        <v>1192</v>
      </c>
      <c r="MC967" s="128">
        <v>830</v>
      </c>
      <c r="MD967" s="129" t="s">
        <v>1193</v>
      </c>
    </row>
    <row r="968" spans="338:342">
      <c r="LZ968" s="126">
        <v>8140</v>
      </c>
      <c r="MA968" s="127" t="s">
        <v>1159</v>
      </c>
      <c r="MB968" s="127" t="s">
        <v>1194</v>
      </c>
      <c r="MC968" s="128">
        <v>33.5</v>
      </c>
      <c r="MD968" s="129"/>
    </row>
    <row r="969" spans="338:342">
      <c r="LZ969" s="126">
        <v>8141</v>
      </c>
      <c r="MA969" s="127" t="s">
        <v>1159</v>
      </c>
      <c r="MB969" s="127" t="s">
        <v>1194</v>
      </c>
      <c r="MC969" s="128">
        <v>53</v>
      </c>
      <c r="MD969" s="129"/>
    </row>
    <row r="970" spans="338:342">
      <c r="LZ970" s="126">
        <v>8142</v>
      </c>
      <c r="MA970" s="127" t="s">
        <v>1159</v>
      </c>
      <c r="MB970" s="127" t="s">
        <v>1194</v>
      </c>
      <c r="MC970" s="128">
        <v>65</v>
      </c>
      <c r="MD970" s="129"/>
    </row>
    <row r="971" spans="338:342">
      <c r="LZ971" s="126">
        <v>8143</v>
      </c>
      <c r="MA971" s="127" t="s">
        <v>1159</v>
      </c>
      <c r="MB971" s="127" t="s">
        <v>1194</v>
      </c>
      <c r="MC971" s="128">
        <v>150</v>
      </c>
      <c r="MD971" s="129"/>
    </row>
    <row r="972" spans="338:342">
      <c r="LZ972" s="126">
        <v>8144</v>
      </c>
      <c r="MA972" s="127" t="s">
        <v>1159</v>
      </c>
      <c r="MB972" s="127" t="s">
        <v>1194</v>
      </c>
      <c r="MC972" s="128">
        <v>225</v>
      </c>
      <c r="MD972" s="129"/>
    </row>
    <row r="973" spans="338:342">
      <c r="LZ973" s="126">
        <v>8419</v>
      </c>
      <c r="MA973" s="127" t="s">
        <v>1159</v>
      </c>
      <c r="MB973" s="127" t="s">
        <v>1195</v>
      </c>
      <c r="MC973" s="128">
        <v>0.65</v>
      </c>
      <c r="MD973" s="129"/>
    </row>
    <row r="974" spans="338:342">
      <c r="LZ974" s="126">
        <v>8420</v>
      </c>
      <c r="MA974" s="127" t="s">
        <v>1159</v>
      </c>
      <c r="MB974" s="127" t="s">
        <v>1196</v>
      </c>
      <c r="MC974" s="128">
        <v>31.25</v>
      </c>
      <c r="MD974" s="129"/>
    </row>
    <row r="975" spans="338:342">
      <c r="LZ975" s="126">
        <v>8150</v>
      </c>
      <c r="MA975" s="127" t="s">
        <v>1159</v>
      </c>
      <c r="MB975" s="127" t="s">
        <v>1197</v>
      </c>
      <c r="MC975" s="128">
        <v>12.3</v>
      </c>
      <c r="MD975" s="129"/>
    </row>
    <row r="976" spans="338:342">
      <c r="LZ976" s="126">
        <v>8151</v>
      </c>
      <c r="MA976" s="127" t="s">
        <v>1159</v>
      </c>
      <c r="MB976" s="127" t="s">
        <v>1197</v>
      </c>
      <c r="MC976" s="128">
        <v>19.75</v>
      </c>
      <c r="MD976" s="129"/>
    </row>
    <row r="977" spans="338:342" ht="51">
      <c r="LZ977" s="126">
        <v>8153</v>
      </c>
      <c r="MA977" s="127" t="s">
        <v>1159</v>
      </c>
      <c r="MB977" s="127" t="s">
        <v>1198</v>
      </c>
      <c r="MC977" s="128">
        <v>6</v>
      </c>
      <c r="MD977" s="129" t="s">
        <v>1199</v>
      </c>
    </row>
    <row r="978" spans="338:342" ht="51">
      <c r="LZ978" s="126">
        <v>8154</v>
      </c>
      <c r="MA978" s="127" t="s">
        <v>1159</v>
      </c>
      <c r="MB978" s="127" t="s">
        <v>1200</v>
      </c>
      <c r="MC978" s="128">
        <v>10.25</v>
      </c>
      <c r="MD978" s="129" t="s">
        <v>1199</v>
      </c>
    </row>
    <row r="979" spans="338:342" ht="51">
      <c r="LZ979" s="126">
        <v>8270</v>
      </c>
      <c r="MA979" s="127" t="s">
        <v>1159</v>
      </c>
      <c r="MB979" s="127" t="s">
        <v>1201</v>
      </c>
      <c r="MC979" s="128">
        <v>3.6</v>
      </c>
      <c r="MD979" s="129" t="s">
        <v>1202</v>
      </c>
    </row>
    <row r="980" spans="338:342" ht="51">
      <c r="LZ980" s="126">
        <v>8271</v>
      </c>
      <c r="MA980" s="127" t="s">
        <v>1159</v>
      </c>
      <c r="MB980" s="127" t="s">
        <v>1201</v>
      </c>
      <c r="MC980" s="128">
        <v>6.75</v>
      </c>
      <c r="MD980" s="129" t="s">
        <v>1202</v>
      </c>
    </row>
    <row r="981" spans="338:342" ht="51">
      <c r="LZ981" s="126">
        <v>8272</v>
      </c>
      <c r="MA981" s="127" t="s">
        <v>1159</v>
      </c>
      <c r="MB981" s="127" t="s">
        <v>1201</v>
      </c>
      <c r="MC981" s="128">
        <v>11.25</v>
      </c>
      <c r="MD981" s="129" t="s">
        <v>1202</v>
      </c>
    </row>
    <row r="982" spans="338:342" ht="51">
      <c r="LZ982" s="126">
        <v>8273</v>
      </c>
      <c r="MA982" s="127" t="s">
        <v>1159</v>
      </c>
      <c r="MB982" s="127" t="s">
        <v>1201</v>
      </c>
      <c r="MC982" s="128">
        <v>14.5</v>
      </c>
      <c r="MD982" s="129" t="s">
        <v>1202</v>
      </c>
    </row>
    <row r="983" spans="338:342" ht="40.799999999999997">
      <c r="LZ983" s="126">
        <v>8275</v>
      </c>
      <c r="MA983" s="127" t="s">
        <v>1159</v>
      </c>
      <c r="MB983" s="127" t="s">
        <v>1203</v>
      </c>
      <c r="MC983" s="128">
        <v>2.9</v>
      </c>
      <c r="MD983" s="129" t="s">
        <v>1204</v>
      </c>
    </row>
    <row r="984" spans="338:342" ht="40.799999999999997">
      <c r="LZ984" s="126">
        <v>8276</v>
      </c>
      <c r="MA984" s="127" t="s">
        <v>1159</v>
      </c>
      <c r="MB984" s="127" t="s">
        <v>1203</v>
      </c>
      <c r="MC984" s="128">
        <v>6.5</v>
      </c>
      <c r="MD984" s="129" t="s">
        <v>1204</v>
      </c>
    </row>
    <row r="985" spans="338:342" ht="40.799999999999997">
      <c r="LZ985" s="126">
        <v>8277</v>
      </c>
      <c r="MA985" s="127" t="s">
        <v>1159</v>
      </c>
      <c r="MB985" s="127" t="s">
        <v>1203</v>
      </c>
      <c r="MC985" s="128">
        <v>10.5</v>
      </c>
      <c r="MD985" s="129" t="s">
        <v>1204</v>
      </c>
    </row>
    <row r="986" spans="338:342" ht="40.799999999999997">
      <c r="LZ986" s="126">
        <v>8278</v>
      </c>
      <c r="MA986" s="127" t="s">
        <v>1159</v>
      </c>
      <c r="MB986" s="127" t="s">
        <v>1203</v>
      </c>
      <c r="MC986" s="128">
        <v>13.5</v>
      </c>
      <c r="MD986" s="129" t="s">
        <v>1204</v>
      </c>
    </row>
    <row r="987" spans="338:342">
      <c r="LZ987" s="126">
        <v>8180</v>
      </c>
      <c r="MA987" s="127" t="s">
        <v>1159</v>
      </c>
      <c r="MB987" s="127" t="s">
        <v>1205</v>
      </c>
      <c r="MC987" s="128">
        <v>20</v>
      </c>
      <c r="MD987" s="129"/>
    </row>
    <row r="988" spans="338:342">
      <c r="LZ988" s="126">
        <v>8181</v>
      </c>
      <c r="MA988" s="127" t="s">
        <v>1159</v>
      </c>
      <c r="MB988" s="127" t="s">
        <v>1205</v>
      </c>
      <c r="MC988" s="128">
        <v>23</v>
      </c>
      <c r="MD988" s="129"/>
    </row>
    <row r="989" spans="338:342">
      <c r="LZ989" s="126">
        <v>8182</v>
      </c>
      <c r="MA989" s="127" t="s">
        <v>1159</v>
      </c>
      <c r="MB989" s="127" t="s">
        <v>1205</v>
      </c>
      <c r="MC989" s="128">
        <v>27</v>
      </c>
      <c r="MD989" s="129"/>
    </row>
    <row r="990" spans="338:342">
      <c r="LZ990" s="126">
        <v>8190</v>
      </c>
      <c r="MA990" s="127" t="s">
        <v>1159</v>
      </c>
      <c r="MB990" s="127" t="s">
        <v>1206</v>
      </c>
      <c r="MC990" s="128">
        <v>1.75</v>
      </c>
      <c r="MD990" s="129"/>
    </row>
    <row r="991" spans="338:342">
      <c r="LZ991" s="126">
        <v>8191</v>
      </c>
      <c r="MA991" s="127" t="s">
        <v>1159</v>
      </c>
      <c r="MB991" s="127" t="s">
        <v>1206</v>
      </c>
      <c r="MC991" s="128">
        <v>3.2</v>
      </c>
      <c r="MD991" s="129"/>
    </row>
    <row r="992" spans="338:342">
      <c r="LZ992" s="126">
        <v>8192</v>
      </c>
      <c r="MA992" s="127" t="s">
        <v>1159</v>
      </c>
      <c r="MB992" s="127" t="s">
        <v>1207</v>
      </c>
      <c r="MC992" s="128">
        <v>1.6</v>
      </c>
      <c r="MD992" s="129"/>
    </row>
    <row r="993" spans="338:342" ht="20.399999999999999">
      <c r="LZ993" s="126">
        <v>8200</v>
      </c>
      <c r="MA993" s="127" t="s">
        <v>1159</v>
      </c>
      <c r="MB993" s="127" t="s">
        <v>1208</v>
      </c>
      <c r="MC993" s="128">
        <v>7.5</v>
      </c>
      <c r="MD993" s="129" t="s">
        <v>1182</v>
      </c>
    </row>
    <row r="994" spans="338:342" ht="20.399999999999999">
      <c r="LZ994" s="126">
        <v>8201</v>
      </c>
      <c r="MA994" s="127" t="s">
        <v>1159</v>
      </c>
      <c r="MB994" s="127" t="s">
        <v>1208</v>
      </c>
      <c r="MC994" s="128">
        <v>16</v>
      </c>
      <c r="MD994" s="129" t="s">
        <v>1182</v>
      </c>
    </row>
    <row r="995" spans="338:342" ht="20.399999999999999">
      <c r="LZ995" s="126">
        <v>8202</v>
      </c>
      <c r="MA995" s="127" t="s">
        <v>1159</v>
      </c>
      <c r="MB995" s="127" t="s">
        <v>1208</v>
      </c>
      <c r="MC995" s="128">
        <v>21.75</v>
      </c>
      <c r="MD995" s="129" t="s">
        <v>1182</v>
      </c>
    </row>
    <row r="996" spans="338:342" ht="20.399999999999999">
      <c r="LZ996" s="126">
        <v>8203</v>
      </c>
      <c r="MA996" s="127" t="s">
        <v>1159</v>
      </c>
      <c r="MB996" s="127" t="s">
        <v>1208</v>
      </c>
      <c r="MC996" s="128">
        <v>30.75</v>
      </c>
      <c r="MD996" s="129" t="s">
        <v>1182</v>
      </c>
    </row>
    <row r="997" spans="338:342" ht="20.399999999999999">
      <c r="LZ997" s="126">
        <v>8204</v>
      </c>
      <c r="MA997" s="127" t="s">
        <v>1159</v>
      </c>
      <c r="MB997" s="127" t="s">
        <v>1208</v>
      </c>
      <c r="MC997" s="128">
        <v>45.5</v>
      </c>
      <c r="MD997" s="129" t="s">
        <v>1182</v>
      </c>
    </row>
    <row r="998" spans="338:342" ht="30.6">
      <c r="LZ998" s="126">
        <v>8210</v>
      </c>
      <c r="MA998" s="127" t="s">
        <v>1159</v>
      </c>
      <c r="MB998" s="127" t="s">
        <v>1209</v>
      </c>
      <c r="MC998" s="128">
        <v>86</v>
      </c>
      <c r="MD998" s="129" t="s">
        <v>1210</v>
      </c>
    </row>
    <row r="999" spans="338:342" ht="30.6">
      <c r="LZ999" s="126">
        <v>8211</v>
      </c>
      <c r="MA999" s="127" t="s">
        <v>1159</v>
      </c>
      <c r="MB999" s="127" t="s">
        <v>1209</v>
      </c>
      <c r="MC999" s="128">
        <v>121</v>
      </c>
      <c r="MD999" s="129" t="s">
        <v>1210</v>
      </c>
    </row>
    <row r="1000" spans="338:342" ht="30.6">
      <c r="LZ1000" s="126">
        <v>8212</v>
      </c>
      <c r="MA1000" s="127" t="s">
        <v>1159</v>
      </c>
      <c r="MB1000" s="127" t="s">
        <v>1211</v>
      </c>
      <c r="MC1000" s="128">
        <v>130</v>
      </c>
      <c r="MD1000" s="129" t="s">
        <v>1210</v>
      </c>
    </row>
    <row r="1001" spans="338:342" ht="61.2">
      <c r="LZ1001" s="126">
        <v>8712</v>
      </c>
      <c r="MA1001" s="127" t="s">
        <v>1159</v>
      </c>
      <c r="MB1001" s="127" t="s">
        <v>1212</v>
      </c>
      <c r="MC1001" s="128">
        <v>16</v>
      </c>
      <c r="MD1001" s="129" t="s">
        <v>1213</v>
      </c>
    </row>
    <row r="1002" spans="338:342" ht="61.2">
      <c r="LZ1002" s="126">
        <v>8713</v>
      </c>
      <c r="MA1002" s="127" t="s">
        <v>1159</v>
      </c>
      <c r="MB1002" s="127" t="s">
        <v>1212</v>
      </c>
      <c r="MC1002" s="128">
        <v>21.5</v>
      </c>
      <c r="MD1002" s="129" t="s">
        <v>1213</v>
      </c>
    </row>
    <row r="1003" spans="338:342">
      <c r="LZ1003" s="126">
        <v>8220</v>
      </c>
      <c r="MA1003" s="127" t="s">
        <v>1159</v>
      </c>
      <c r="MB1003" s="127" t="s">
        <v>1214</v>
      </c>
      <c r="MC1003" s="128">
        <v>11</v>
      </c>
      <c r="MD1003" s="129"/>
    </row>
    <row r="1004" spans="338:342">
      <c r="LZ1004" s="126">
        <v>8221</v>
      </c>
      <c r="MA1004" s="127" t="s">
        <v>1159</v>
      </c>
      <c r="MB1004" s="127" t="s">
        <v>1215</v>
      </c>
      <c r="MC1004" s="128">
        <v>17.5</v>
      </c>
      <c r="MD1004" s="129"/>
    </row>
    <row r="1005" spans="338:342">
      <c r="LZ1005" s="126">
        <v>8222</v>
      </c>
      <c r="MA1005" s="127" t="s">
        <v>1159</v>
      </c>
      <c r="MB1005" s="127" t="s">
        <v>1216</v>
      </c>
      <c r="MC1005" s="128">
        <v>25</v>
      </c>
      <c r="MD1005" s="129"/>
    </row>
    <row r="1006" spans="338:342">
      <c r="LZ1006" s="126">
        <v>8223</v>
      </c>
      <c r="MA1006" s="127" t="s">
        <v>1159</v>
      </c>
      <c r="MB1006" s="127" t="s">
        <v>1217</v>
      </c>
      <c r="MC1006" s="128">
        <v>29</v>
      </c>
      <c r="MD1006" s="129"/>
    </row>
    <row r="1007" spans="338:342">
      <c r="LZ1007" s="126">
        <v>8225</v>
      </c>
      <c r="MA1007" s="127" t="s">
        <v>1159</v>
      </c>
      <c r="MB1007" s="127" t="s">
        <v>1218</v>
      </c>
      <c r="MC1007" s="128">
        <v>96</v>
      </c>
      <c r="MD1007" s="129"/>
    </row>
    <row r="1008" spans="338:342">
      <c r="LZ1008" s="126">
        <v>8226</v>
      </c>
      <c r="MA1008" s="127" t="s">
        <v>1159</v>
      </c>
      <c r="MB1008" s="127" t="s">
        <v>1218</v>
      </c>
      <c r="MC1008" s="128">
        <v>163</v>
      </c>
      <c r="MD1008" s="129"/>
    </row>
    <row r="1009" spans="338:342">
      <c r="LZ1009" s="126">
        <v>8227</v>
      </c>
      <c r="MA1009" s="127" t="s">
        <v>1159</v>
      </c>
      <c r="MB1009" s="127" t="s">
        <v>1218</v>
      </c>
      <c r="MC1009" s="128">
        <v>225</v>
      </c>
      <c r="MD1009" s="129"/>
    </row>
    <row r="1010" spans="338:342" ht="51">
      <c r="LZ1010" s="126">
        <v>8228</v>
      </c>
      <c r="MA1010" s="127" t="s">
        <v>1159</v>
      </c>
      <c r="MB1010" s="127" t="s">
        <v>1219</v>
      </c>
      <c r="MC1010" s="128">
        <v>7.5</v>
      </c>
      <c r="MD1010" s="129" t="s">
        <v>1199</v>
      </c>
    </row>
    <row r="1011" spans="338:342" ht="51">
      <c r="LZ1011" s="126">
        <v>8229</v>
      </c>
      <c r="MA1011" s="127" t="s">
        <v>1159</v>
      </c>
      <c r="MB1011" s="127" t="s">
        <v>1220</v>
      </c>
      <c r="MC1011" s="128">
        <v>12.25</v>
      </c>
      <c r="MD1011" s="129" t="s">
        <v>1199</v>
      </c>
    </row>
    <row r="1012" spans="338:342">
      <c r="LZ1012" s="126">
        <v>8500</v>
      </c>
      <c r="MA1012" s="127" t="s">
        <v>1159</v>
      </c>
      <c r="MB1012" s="127" t="s">
        <v>1221</v>
      </c>
      <c r="MC1012" s="128">
        <v>27</v>
      </c>
      <c r="MD1012" s="129"/>
    </row>
    <row r="1013" spans="338:342">
      <c r="LZ1013" s="126">
        <v>8501</v>
      </c>
      <c r="MA1013" s="127" t="s">
        <v>1159</v>
      </c>
      <c r="MB1013" s="127" t="s">
        <v>1221</v>
      </c>
      <c r="MC1013" s="128">
        <v>55</v>
      </c>
      <c r="MD1013" s="129"/>
    </row>
    <row r="1014" spans="338:342">
      <c r="LZ1014" s="126">
        <v>8502</v>
      </c>
      <c r="MA1014" s="127" t="s">
        <v>1159</v>
      </c>
      <c r="MB1014" s="127" t="s">
        <v>1221</v>
      </c>
      <c r="MC1014" s="128">
        <v>95</v>
      </c>
      <c r="MD1014" s="129"/>
    </row>
    <row r="1015" spans="338:342">
      <c r="LZ1015" s="126">
        <v>8503</v>
      </c>
      <c r="MA1015" s="127" t="s">
        <v>1159</v>
      </c>
      <c r="MB1015" s="127" t="s">
        <v>1221</v>
      </c>
      <c r="MC1015" s="128">
        <v>155</v>
      </c>
      <c r="MD1015" s="129"/>
    </row>
    <row r="1016" spans="338:342">
      <c r="LZ1016" s="126">
        <v>8504</v>
      </c>
      <c r="MA1016" s="127" t="s">
        <v>1159</v>
      </c>
      <c r="MB1016" s="127" t="s">
        <v>1221</v>
      </c>
      <c r="MC1016" s="128">
        <v>220</v>
      </c>
      <c r="MD1016" s="129"/>
    </row>
    <row r="1017" spans="338:342" ht="40.799999999999997">
      <c r="LZ1017" s="126">
        <v>8496</v>
      </c>
      <c r="MA1017" s="127" t="s">
        <v>1159</v>
      </c>
      <c r="MB1017" s="127" t="s">
        <v>1222</v>
      </c>
      <c r="MC1017" s="128">
        <v>10</v>
      </c>
      <c r="MD1017" s="129" t="s">
        <v>1223</v>
      </c>
    </row>
    <row r="1018" spans="338:342" ht="40.799999999999997">
      <c r="LZ1018" s="126">
        <v>8497</v>
      </c>
      <c r="MA1018" s="127" t="s">
        <v>1159</v>
      </c>
      <c r="MB1018" s="127" t="s">
        <v>1222</v>
      </c>
      <c r="MC1018" s="128">
        <v>16</v>
      </c>
      <c r="MD1018" s="129" t="s">
        <v>1223</v>
      </c>
    </row>
    <row r="1019" spans="338:342" ht="40.799999999999997">
      <c r="LZ1019" s="126">
        <v>8498</v>
      </c>
      <c r="MA1019" s="127" t="s">
        <v>1159</v>
      </c>
      <c r="MB1019" s="127" t="s">
        <v>1222</v>
      </c>
      <c r="MC1019" s="128">
        <v>30</v>
      </c>
      <c r="MD1019" s="129" t="s">
        <v>1223</v>
      </c>
    </row>
    <row r="1020" spans="338:342">
      <c r="LZ1020" s="126">
        <v>8195</v>
      </c>
      <c r="MA1020" s="127" t="s">
        <v>1159</v>
      </c>
      <c r="MB1020" s="127" t="s">
        <v>1224</v>
      </c>
      <c r="MC1020" s="128">
        <v>90</v>
      </c>
      <c r="MD1020" s="129"/>
    </row>
    <row r="1021" spans="338:342">
      <c r="LZ1021" s="126">
        <v>8196</v>
      </c>
      <c r="MA1021" s="127" t="s">
        <v>1159</v>
      </c>
      <c r="MB1021" s="127" t="s">
        <v>1224</v>
      </c>
      <c r="MC1021" s="128">
        <v>100</v>
      </c>
      <c r="MD1021" s="129"/>
    </row>
    <row r="1022" spans="338:342">
      <c r="LZ1022" s="126">
        <v>8197</v>
      </c>
      <c r="MA1022" s="127" t="s">
        <v>1159</v>
      </c>
      <c r="MB1022" s="127" t="s">
        <v>1224</v>
      </c>
      <c r="MC1022" s="128">
        <v>120</v>
      </c>
      <c r="MD1022" s="129"/>
    </row>
    <row r="1023" spans="338:342" ht="71.400000000000006">
      <c r="LZ1023" s="126">
        <v>8670</v>
      </c>
      <c r="MA1023" s="127" t="s">
        <v>1159</v>
      </c>
      <c r="MB1023" s="127" t="s">
        <v>1225</v>
      </c>
      <c r="MC1023" s="128">
        <v>21</v>
      </c>
      <c r="MD1023" s="129" t="s">
        <v>1226</v>
      </c>
    </row>
    <row r="1024" spans="338:342" ht="71.400000000000006">
      <c r="LZ1024" s="126">
        <v>8671</v>
      </c>
      <c r="MA1024" s="127" t="s">
        <v>1159</v>
      </c>
      <c r="MB1024" s="127" t="s">
        <v>1225</v>
      </c>
      <c r="MC1024" s="128">
        <v>39</v>
      </c>
      <c r="MD1024" s="129" t="s">
        <v>1226</v>
      </c>
    </row>
    <row r="1025" spans="338:342" ht="40.799999999999997">
      <c r="LZ1025" s="126">
        <v>8580</v>
      </c>
      <c r="MA1025" s="127" t="s">
        <v>1159</v>
      </c>
      <c r="MB1025" s="127" t="s">
        <v>1227</v>
      </c>
      <c r="MC1025" s="128">
        <v>12</v>
      </c>
      <c r="MD1025" s="129" t="s">
        <v>1228</v>
      </c>
    </row>
    <row r="1026" spans="338:342" ht="102">
      <c r="LZ1026" s="126">
        <v>8581</v>
      </c>
      <c r="MA1026" s="127" t="s">
        <v>1159</v>
      </c>
      <c r="MB1026" s="127" t="s">
        <v>1227</v>
      </c>
      <c r="MC1026" s="128">
        <v>13</v>
      </c>
      <c r="MD1026" s="129" t="s">
        <v>1229</v>
      </c>
    </row>
    <row r="1027" spans="338:342" ht="102">
      <c r="LZ1027" s="126">
        <v>8582</v>
      </c>
      <c r="MA1027" s="127" t="s">
        <v>1159</v>
      </c>
      <c r="MB1027" s="127" t="s">
        <v>1227</v>
      </c>
      <c r="MC1027" s="128">
        <v>25</v>
      </c>
      <c r="MD1027" s="129" t="s">
        <v>1229</v>
      </c>
    </row>
    <row r="1028" spans="338:342">
      <c r="LZ1028" s="126">
        <v>8250</v>
      </c>
      <c r="MA1028" s="127" t="s">
        <v>1159</v>
      </c>
      <c r="MB1028" s="127" t="s">
        <v>1230</v>
      </c>
      <c r="MC1028" s="128">
        <v>31</v>
      </c>
      <c r="MD1028" s="129"/>
    </row>
    <row r="1029" spans="338:342">
      <c r="LZ1029" s="126">
        <v>8251</v>
      </c>
      <c r="MA1029" s="127" t="s">
        <v>1159</v>
      </c>
      <c r="MB1029" s="127" t="s">
        <v>1230</v>
      </c>
      <c r="MC1029" s="128">
        <v>40</v>
      </c>
      <c r="MD1029" s="129"/>
    </row>
    <row r="1030" spans="338:342">
      <c r="LZ1030" s="126">
        <v>8252</v>
      </c>
      <c r="MA1030" s="127" t="s">
        <v>1159</v>
      </c>
      <c r="MB1030" s="127" t="s">
        <v>1230</v>
      </c>
      <c r="MC1030" s="128">
        <v>65</v>
      </c>
      <c r="MD1030" s="129"/>
    </row>
    <row r="1031" spans="338:342">
      <c r="LZ1031" s="126">
        <v>8253</v>
      </c>
      <c r="MA1031" s="127" t="s">
        <v>1159</v>
      </c>
      <c r="MB1031" s="127" t="s">
        <v>1230</v>
      </c>
      <c r="MC1031" s="128">
        <v>80</v>
      </c>
      <c r="MD1031" s="129"/>
    </row>
    <row r="1032" spans="338:342">
      <c r="LZ1032" s="126">
        <v>8254</v>
      </c>
      <c r="MA1032" s="127" t="s">
        <v>1159</v>
      </c>
      <c r="MB1032" s="127" t="s">
        <v>1230</v>
      </c>
      <c r="MC1032" s="128">
        <v>135</v>
      </c>
      <c r="MD1032" s="129"/>
    </row>
    <row r="1033" spans="338:342">
      <c r="LZ1033" s="126">
        <v>8255</v>
      </c>
      <c r="MA1033" s="127" t="s">
        <v>1159</v>
      </c>
      <c r="MB1033" s="127" t="s">
        <v>1230</v>
      </c>
      <c r="MC1033" s="128">
        <v>250</v>
      </c>
      <c r="MD1033" s="129"/>
    </row>
    <row r="1034" spans="338:342">
      <c r="LZ1034" s="126">
        <v>8256</v>
      </c>
      <c r="MA1034" s="127" t="s">
        <v>1159</v>
      </c>
      <c r="MB1034" s="127" t="s">
        <v>1230</v>
      </c>
      <c r="MC1034" s="128">
        <v>340</v>
      </c>
      <c r="MD1034" s="129"/>
    </row>
    <row r="1035" spans="338:342">
      <c r="LZ1035" s="126">
        <v>8260</v>
      </c>
      <c r="MA1035" s="127" t="s">
        <v>1159</v>
      </c>
      <c r="MB1035" s="127" t="s">
        <v>1231</v>
      </c>
      <c r="MC1035" s="128">
        <v>55</v>
      </c>
      <c r="MD1035" s="129"/>
    </row>
    <row r="1036" spans="338:342">
      <c r="LZ1036" s="126">
        <v>8261</v>
      </c>
      <c r="MA1036" s="127" t="s">
        <v>1159</v>
      </c>
      <c r="MB1036" s="127" t="s">
        <v>1231</v>
      </c>
      <c r="MC1036" s="128">
        <v>110</v>
      </c>
      <c r="MD1036" s="129"/>
    </row>
    <row r="1037" spans="338:342">
      <c r="LZ1037" s="126">
        <v>8262</v>
      </c>
      <c r="MA1037" s="127" t="s">
        <v>1159</v>
      </c>
      <c r="MB1037" s="127" t="s">
        <v>1231</v>
      </c>
      <c r="MC1037" s="128">
        <v>150</v>
      </c>
      <c r="MD1037" s="129"/>
    </row>
    <row r="1038" spans="338:342">
      <c r="LZ1038" s="126">
        <v>8263</v>
      </c>
      <c r="MA1038" s="127" t="s">
        <v>1159</v>
      </c>
      <c r="MB1038" s="127" t="s">
        <v>1231</v>
      </c>
      <c r="MC1038" s="128">
        <v>200</v>
      </c>
      <c r="MD1038" s="129"/>
    </row>
    <row r="1039" spans="338:342" ht="51">
      <c r="LZ1039" s="126">
        <v>8280</v>
      </c>
      <c r="MA1039" s="127" t="s">
        <v>1159</v>
      </c>
      <c r="MB1039" s="127" t="s">
        <v>1232</v>
      </c>
      <c r="MC1039" s="128">
        <v>18</v>
      </c>
      <c r="MD1039" s="129" t="s">
        <v>1233</v>
      </c>
    </row>
    <row r="1040" spans="338:342" ht="51">
      <c r="LZ1040" s="126">
        <v>8281</v>
      </c>
      <c r="MA1040" s="127" t="s">
        <v>1159</v>
      </c>
      <c r="MB1040" s="127" t="s">
        <v>1232</v>
      </c>
      <c r="MC1040" s="128">
        <v>39</v>
      </c>
      <c r="MD1040" s="129" t="s">
        <v>1233</v>
      </c>
    </row>
    <row r="1041" spans="338:342" ht="51">
      <c r="LZ1041" s="126">
        <v>8282</v>
      </c>
      <c r="MA1041" s="127" t="s">
        <v>1159</v>
      </c>
      <c r="MB1041" s="127" t="s">
        <v>1232</v>
      </c>
      <c r="MC1041" s="128">
        <v>65</v>
      </c>
      <c r="MD1041" s="129" t="s">
        <v>1233</v>
      </c>
    </row>
    <row r="1042" spans="338:342" ht="51">
      <c r="LZ1042" s="126">
        <v>8283</v>
      </c>
      <c r="MA1042" s="127" t="s">
        <v>1159</v>
      </c>
      <c r="MB1042" s="127" t="s">
        <v>1232</v>
      </c>
      <c r="MC1042" s="128">
        <v>120</v>
      </c>
      <c r="MD1042" s="129" t="s">
        <v>1233</v>
      </c>
    </row>
    <row r="1043" spans="338:342" ht="51">
      <c r="LZ1043" s="126">
        <v>8284</v>
      </c>
      <c r="MA1043" s="127" t="s">
        <v>1159</v>
      </c>
      <c r="MB1043" s="127" t="s">
        <v>1232</v>
      </c>
      <c r="MC1043" s="128">
        <v>200</v>
      </c>
      <c r="MD1043" s="129" t="s">
        <v>1233</v>
      </c>
    </row>
    <row r="1044" spans="338:342" ht="51">
      <c r="LZ1044" s="126">
        <v>8285</v>
      </c>
      <c r="MA1044" s="127" t="s">
        <v>1159</v>
      </c>
      <c r="MB1044" s="127" t="s">
        <v>1232</v>
      </c>
      <c r="MC1044" s="128">
        <v>240</v>
      </c>
      <c r="MD1044" s="129" t="s">
        <v>1233</v>
      </c>
    </row>
    <row r="1045" spans="338:342" ht="51">
      <c r="LZ1045" s="126">
        <v>8286</v>
      </c>
      <c r="MA1045" s="127" t="s">
        <v>1159</v>
      </c>
      <c r="MB1045" s="127" t="s">
        <v>1232</v>
      </c>
      <c r="MC1045" s="128">
        <v>400</v>
      </c>
      <c r="MD1045" s="129" t="s">
        <v>1233</v>
      </c>
    </row>
    <row r="1046" spans="338:342">
      <c r="LZ1046" s="126">
        <v>8240</v>
      </c>
      <c r="MA1046" s="127" t="s">
        <v>1159</v>
      </c>
      <c r="MB1046" s="127" t="s">
        <v>1234</v>
      </c>
      <c r="MC1046" s="128">
        <v>17</v>
      </c>
      <c r="MD1046" s="129"/>
    </row>
    <row r="1047" spans="338:342">
      <c r="LZ1047" s="126">
        <v>8241</v>
      </c>
      <c r="MA1047" s="127" t="s">
        <v>1159</v>
      </c>
      <c r="MB1047" s="127" t="s">
        <v>1234</v>
      </c>
      <c r="MC1047" s="128">
        <v>30</v>
      </c>
      <c r="MD1047" s="129"/>
    </row>
    <row r="1048" spans="338:342">
      <c r="LZ1048" s="126">
        <v>8242</v>
      </c>
      <c r="MA1048" s="127" t="s">
        <v>1159</v>
      </c>
      <c r="MB1048" s="127" t="s">
        <v>1234</v>
      </c>
      <c r="MC1048" s="128">
        <v>44</v>
      </c>
      <c r="MD1048" s="129"/>
    </row>
    <row r="1049" spans="338:342">
      <c r="LZ1049" s="126">
        <v>8300</v>
      </c>
      <c r="MA1049" s="127" t="s">
        <v>1159</v>
      </c>
      <c r="MB1049" s="127" t="s">
        <v>1235</v>
      </c>
      <c r="MC1049" s="130">
        <v>1175</v>
      </c>
      <c r="MD1049" s="129"/>
    </row>
    <row r="1050" spans="338:342">
      <c r="LZ1050" s="126">
        <v>8301</v>
      </c>
      <c r="MA1050" s="127" t="s">
        <v>1159</v>
      </c>
      <c r="MB1050" s="127" t="s">
        <v>1235</v>
      </c>
      <c r="MC1050" s="128">
        <v>17</v>
      </c>
      <c r="MD1050" s="129"/>
    </row>
    <row r="1051" spans="338:342">
      <c r="LZ1051" s="126">
        <v>8302</v>
      </c>
      <c r="MA1051" s="127" t="s">
        <v>1159</v>
      </c>
      <c r="MB1051" s="127" t="s">
        <v>1235</v>
      </c>
      <c r="MC1051" s="128">
        <v>23</v>
      </c>
      <c r="MD1051" s="129"/>
    </row>
    <row r="1052" spans="338:342">
      <c r="LZ1052" s="126">
        <v>8303</v>
      </c>
      <c r="MA1052" s="127" t="s">
        <v>1159</v>
      </c>
      <c r="MB1052" s="127" t="s">
        <v>1235</v>
      </c>
      <c r="MC1052" s="128">
        <v>50</v>
      </c>
      <c r="MD1052" s="129"/>
    </row>
    <row r="1053" spans="338:342">
      <c r="LZ1053" s="126">
        <v>8310</v>
      </c>
      <c r="MA1053" s="127" t="s">
        <v>1159</v>
      </c>
      <c r="MB1053" s="127" t="s">
        <v>1236</v>
      </c>
      <c r="MC1053" s="128">
        <v>3.25</v>
      </c>
      <c r="MD1053" s="129"/>
    </row>
    <row r="1054" spans="338:342">
      <c r="LZ1054" s="126">
        <v>8311</v>
      </c>
      <c r="MA1054" s="127" t="s">
        <v>1159</v>
      </c>
      <c r="MB1054" s="127" t="s">
        <v>1236</v>
      </c>
      <c r="MC1054" s="128">
        <v>8</v>
      </c>
      <c r="MD1054" s="129"/>
    </row>
    <row r="1055" spans="338:342">
      <c r="LZ1055" s="126">
        <v>8312</v>
      </c>
      <c r="MA1055" s="127" t="s">
        <v>1159</v>
      </c>
      <c r="MB1055" s="127" t="s">
        <v>1236</v>
      </c>
      <c r="MC1055" s="128">
        <v>17</v>
      </c>
      <c r="MD1055" s="129"/>
    </row>
    <row r="1056" spans="338:342">
      <c r="LZ1056" s="126">
        <v>8313</v>
      </c>
      <c r="MA1056" s="127" t="s">
        <v>1159</v>
      </c>
      <c r="MB1056" s="127" t="s">
        <v>1236</v>
      </c>
      <c r="MC1056" s="128">
        <v>34</v>
      </c>
      <c r="MD1056" s="129"/>
    </row>
    <row r="1057" spans="338:342">
      <c r="LZ1057" s="126">
        <v>8314</v>
      </c>
      <c r="MA1057" s="127" t="s">
        <v>1159</v>
      </c>
      <c r="MB1057" s="127" t="s">
        <v>1236</v>
      </c>
      <c r="MC1057" s="128">
        <v>50</v>
      </c>
      <c r="MD1057" s="129"/>
    </row>
    <row r="1058" spans="338:342">
      <c r="LZ1058" s="126">
        <v>8315</v>
      </c>
      <c r="MA1058" s="127" t="s">
        <v>1159</v>
      </c>
      <c r="MB1058" s="127" t="s">
        <v>1236</v>
      </c>
      <c r="MC1058" s="128">
        <v>60</v>
      </c>
      <c r="MD1058" s="129"/>
    </row>
    <row r="1059" spans="338:342">
      <c r="LZ1059" s="126">
        <v>8316</v>
      </c>
      <c r="MA1059" s="127" t="s">
        <v>1159</v>
      </c>
      <c r="MB1059" s="127" t="s">
        <v>1236</v>
      </c>
      <c r="MC1059" s="128">
        <v>85</v>
      </c>
      <c r="MD1059" s="129"/>
    </row>
    <row r="1060" spans="338:342">
      <c r="LZ1060" s="126">
        <v>8317</v>
      </c>
      <c r="MA1060" s="127" t="s">
        <v>1159</v>
      </c>
      <c r="MB1060" s="127" t="s">
        <v>1236</v>
      </c>
      <c r="MC1060" s="128">
        <v>95</v>
      </c>
      <c r="MD1060" s="129"/>
    </row>
    <row r="1061" spans="338:342">
      <c r="LZ1061" s="126">
        <v>8318</v>
      </c>
      <c r="MA1061" s="127" t="s">
        <v>1159</v>
      </c>
      <c r="MB1061" s="127" t="s">
        <v>1236</v>
      </c>
      <c r="MC1061" s="128">
        <v>150</v>
      </c>
      <c r="MD1061" s="129"/>
    </row>
    <row r="1062" spans="338:342">
      <c r="LZ1062" s="126">
        <v>8319</v>
      </c>
      <c r="MA1062" s="127" t="s">
        <v>1159</v>
      </c>
      <c r="MB1062" s="127" t="s">
        <v>1236</v>
      </c>
      <c r="MC1062" s="128">
        <v>200</v>
      </c>
      <c r="MD1062" s="129"/>
    </row>
    <row r="1063" spans="338:342">
      <c r="LZ1063" s="126">
        <v>8320</v>
      </c>
      <c r="MA1063" s="127" t="s">
        <v>1159</v>
      </c>
      <c r="MB1063" s="127" t="s">
        <v>1236</v>
      </c>
      <c r="MC1063" s="128">
        <v>375</v>
      </c>
      <c r="MD1063" s="129"/>
    </row>
    <row r="1064" spans="338:342">
      <c r="LZ1064" s="126">
        <v>8321</v>
      </c>
      <c r="MA1064" s="127" t="s">
        <v>1159</v>
      </c>
      <c r="MB1064" s="127" t="s">
        <v>1236</v>
      </c>
      <c r="MC1064" s="128">
        <v>500</v>
      </c>
      <c r="MD1064" s="129"/>
    </row>
    <row r="1065" spans="338:342">
      <c r="LZ1065" s="126">
        <v>8755</v>
      </c>
      <c r="MA1065" s="127" t="s">
        <v>1159</v>
      </c>
      <c r="MB1065" s="127" t="s">
        <v>1237</v>
      </c>
      <c r="MC1065" s="128">
        <v>3.2</v>
      </c>
      <c r="MD1065" s="129"/>
    </row>
    <row r="1066" spans="338:342" ht="30.6">
      <c r="LZ1066" s="126">
        <v>8330</v>
      </c>
      <c r="MA1066" s="127" t="s">
        <v>1159</v>
      </c>
      <c r="MB1066" s="127" t="s">
        <v>1238</v>
      </c>
      <c r="MC1066" s="128">
        <v>34.5</v>
      </c>
      <c r="MD1066" s="129" t="s">
        <v>1239</v>
      </c>
    </row>
    <row r="1067" spans="338:342" ht="30.6">
      <c r="LZ1067" s="126">
        <v>8331</v>
      </c>
      <c r="MA1067" s="127" t="s">
        <v>1159</v>
      </c>
      <c r="MB1067" s="127" t="s">
        <v>1238</v>
      </c>
      <c r="MC1067" s="128">
        <v>58</v>
      </c>
      <c r="MD1067" s="129" t="s">
        <v>1239</v>
      </c>
    </row>
    <row r="1068" spans="338:342" ht="30.6">
      <c r="LZ1068" s="126">
        <v>8332</v>
      </c>
      <c r="MA1068" s="127" t="s">
        <v>1159</v>
      </c>
      <c r="MB1068" s="127" t="s">
        <v>1238</v>
      </c>
      <c r="MC1068" s="128">
        <v>70</v>
      </c>
      <c r="MD1068" s="129" t="s">
        <v>1239</v>
      </c>
    </row>
    <row r="1069" spans="338:342" ht="40.799999999999997">
      <c r="LZ1069" s="126">
        <v>8350</v>
      </c>
      <c r="MA1069" s="127" t="s">
        <v>1159</v>
      </c>
      <c r="MB1069" s="127" t="s">
        <v>1240</v>
      </c>
      <c r="MC1069" s="128">
        <v>0.13</v>
      </c>
      <c r="MD1069" s="129" t="s">
        <v>1241</v>
      </c>
    </row>
    <row r="1070" spans="338:342" ht="40.799999999999997">
      <c r="LZ1070" s="126">
        <v>8351</v>
      </c>
      <c r="MA1070" s="127" t="s">
        <v>1159</v>
      </c>
      <c r="MB1070" s="127" t="s">
        <v>1240</v>
      </c>
      <c r="MC1070" s="128">
        <v>0.19</v>
      </c>
      <c r="MD1070" s="129" t="s">
        <v>1241</v>
      </c>
    </row>
    <row r="1071" spans="338:342" ht="40.799999999999997">
      <c r="LZ1071" s="126">
        <v>8352</v>
      </c>
      <c r="MA1071" s="127" t="s">
        <v>1159</v>
      </c>
      <c r="MB1071" s="127" t="s">
        <v>1240</v>
      </c>
      <c r="MC1071" s="128">
        <v>0.5</v>
      </c>
      <c r="MD1071" s="129" t="s">
        <v>1241</v>
      </c>
    </row>
    <row r="1072" spans="338:342" ht="40.799999999999997">
      <c r="LZ1072" s="126">
        <v>8353</v>
      </c>
      <c r="MA1072" s="127" t="s">
        <v>1159</v>
      </c>
      <c r="MB1072" s="127" t="s">
        <v>1240</v>
      </c>
      <c r="MC1072" s="128">
        <v>0.75</v>
      </c>
      <c r="MD1072" s="129" t="s">
        <v>1241</v>
      </c>
    </row>
    <row r="1073" spans="338:342" ht="40.799999999999997">
      <c r="LZ1073" s="126">
        <v>8354</v>
      </c>
      <c r="MA1073" s="127" t="s">
        <v>1159</v>
      </c>
      <c r="MB1073" s="127" t="s">
        <v>1240</v>
      </c>
      <c r="MC1073" s="128">
        <v>1.35</v>
      </c>
      <c r="MD1073" s="129" t="s">
        <v>1241</v>
      </c>
    </row>
    <row r="1074" spans="338:342" ht="40.799999999999997">
      <c r="LZ1074" s="126">
        <v>8355</v>
      </c>
      <c r="MA1074" s="127" t="s">
        <v>1159</v>
      </c>
      <c r="MB1074" s="127" t="s">
        <v>1240</v>
      </c>
      <c r="MC1074" s="128">
        <v>2.2000000000000002</v>
      </c>
      <c r="MD1074" s="129" t="s">
        <v>1241</v>
      </c>
    </row>
    <row r="1075" spans="338:342" ht="40.799999999999997">
      <c r="LZ1075" s="126">
        <v>8356</v>
      </c>
      <c r="MA1075" s="127" t="s">
        <v>1159</v>
      </c>
      <c r="MB1075" s="127" t="s">
        <v>1242</v>
      </c>
      <c r="MC1075" s="128">
        <v>0.23</v>
      </c>
      <c r="MD1075" s="129" t="s">
        <v>1241</v>
      </c>
    </row>
    <row r="1076" spans="338:342" ht="40.799999999999997">
      <c r="LZ1076" s="126">
        <v>8357</v>
      </c>
      <c r="MA1076" s="127" t="s">
        <v>1159</v>
      </c>
      <c r="MB1076" s="127" t="s">
        <v>1242</v>
      </c>
      <c r="MC1076" s="128">
        <v>0.43</v>
      </c>
      <c r="MD1076" s="129" t="s">
        <v>1241</v>
      </c>
    </row>
    <row r="1077" spans="338:342" ht="40.799999999999997">
      <c r="LZ1077" s="126">
        <v>8358</v>
      </c>
      <c r="MA1077" s="127" t="s">
        <v>1159</v>
      </c>
      <c r="MB1077" s="127" t="s">
        <v>1242</v>
      </c>
      <c r="MC1077" s="128">
        <v>0.9</v>
      </c>
      <c r="MD1077" s="129" t="s">
        <v>1241</v>
      </c>
    </row>
    <row r="1078" spans="338:342" ht="40.799999999999997">
      <c r="LZ1078" s="126">
        <v>8359</v>
      </c>
      <c r="MA1078" s="127" t="s">
        <v>1159</v>
      </c>
      <c r="MB1078" s="127" t="s">
        <v>1242</v>
      </c>
      <c r="MC1078" s="128">
        <v>1.35</v>
      </c>
      <c r="MD1078" s="129" t="s">
        <v>1241</v>
      </c>
    </row>
    <row r="1079" spans="338:342" ht="40.799999999999997">
      <c r="LZ1079" s="126">
        <v>8360</v>
      </c>
      <c r="MA1079" s="127" t="s">
        <v>1159</v>
      </c>
      <c r="MB1079" s="127" t="s">
        <v>1242</v>
      </c>
      <c r="MC1079" s="128">
        <v>2.4500000000000002</v>
      </c>
      <c r="MD1079" s="129" t="s">
        <v>1241</v>
      </c>
    </row>
    <row r="1080" spans="338:342" ht="40.799999999999997">
      <c r="LZ1080" s="126">
        <v>8361</v>
      </c>
      <c r="MA1080" s="127" t="s">
        <v>1159</v>
      </c>
      <c r="MB1080" s="127" t="s">
        <v>1242</v>
      </c>
      <c r="MC1080" s="128">
        <v>3.9</v>
      </c>
      <c r="MD1080" s="129" t="s">
        <v>1241</v>
      </c>
    </row>
    <row r="1081" spans="338:342">
      <c r="LZ1081" s="126">
        <v>8517</v>
      </c>
      <c r="MA1081" s="127" t="s">
        <v>1159</v>
      </c>
      <c r="MB1081" s="127" t="s">
        <v>1243</v>
      </c>
      <c r="MC1081" s="128">
        <v>1</v>
      </c>
      <c r="MD1081" s="129"/>
    </row>
    <row r="1082" spans="338:342">
      <c r="LZ1082" s="126">
        <v>8518</v>
      </c>
      <c r="MA1082" s="127" t="s">
        <v>1159</v>
      </c>
      <c r="MB1082" s="127" t="s">
        <v>1244</v>
      </c>
      <c r="MC1082" s="128">
        <v>1.1499999999999999</v>
      </c>
      <c r="MD1082" s="129"/>
    </row>
    <row r="1083" spans="338:342" ht="20.399999999999999">
      <c r="LZ1083" s="126">
        <v>8380</v>
      </c>
      <c r="MA1083" s="127" t="s">
        <v>1159</v>
      </c>
      <c r="MB1083" s="127" t="s">
        <v>1245</v>
      </c>
      <c r="MC1083" s="128">
        <v>11.5</v>
      </c>
      <c r="MD1083" s="129" t="s">
        <v>1246</v>
      </c>
    </row>
    <row r="1084" spans="338:342" ht="20.399999999999999">
      <c r="LZ1084" s="126">
        <v>8381</v>
      </c>
      <c r="MA1084" s="127" t="s">
        <v>1159</v>
      </c>
      <c r="MB1084" s="127" t="s">
        <v>1245</v>
      </c>
      <c r="MC1084" s="128">
        <v>19</v>
      </c>
      <c r="MD1084" s="129" t="s">
        <v>1246</v>
      </c>
    </row>
    <row r="1085" spans="338:342" ht="20.399999999999999">
      <c r="LZ1085" s="126">
        <v>8382</v>
      </c>
      <c r="MA1085" s="127" t="s">
        <v>1159</v>
      </c>
      <c r="MB1085" s="127" t="s">
        <v>1245</v>
      </c>
      <c r="MC1085" s="128">
        <v>42</v>
      </c>
      <c r="MD1085" s="129" t="s">
        <v>1246</v>
      </c>
    </row>
    <row r="1086" spans="338:342" ht="20.399999999999999">
      <c r="LZ1086" s="126">
        <v>8383</v>
      </c>
      <c r="MA1086" s="127" t="s">
        <v>1159</v>
      </c>
      <c r="MB1086" s="127" t="s">
        <v>1245</v>
      </c>
      <c r="MC1086" s="128">
        <v>76</v>
      </c>
      <c r="MD1086" s="129" t="s">
        <v>1246</v>
      </c>
    </row>
    <row r="1087" spans="338:342" ht="20.399999999999999">
      <c r="LZ1087" s="126">
        <v>8384</v>
      </c>
      <c r="MA1087" s="127" t="s">
        <v>1159</v>
      </c>
      <c r="MB1087" s="127" t="s">
        <v>1245</v>
      </c>
      <c r="MC1087" s="128">
        <v>115</v>
      </c>
      <c r="MD1087" s="129" t="s">
        <v>1246</v>
      </c>
    </row>
    <row r="1088" spans="338:342">
      <c r="LZ1088" s="126">
        <v>8540</v>
      </c>
      <c r="MA1088" s="127" t="s">
        <v>1159</v>
      </c>
      <c r="MB1088" s="127" t="s">
        <v>1247</v>
      </c>
      <c r="MC1088" s="128">
        <v>11</v>
      </c>
      <c r="MD1088" s="129"/>
    </row>
    <row r="1089" spans="338:342">
      <c r="LZ1089" s="126">
        <v>8541</v>
      </c>
      <c r="MA1089" s="127" t="s">
        <v>1159</v>
      </c>
      <c r="MB1089" s="127" t="s">
        <v>1247</v>
      </c>
      <c r="MC1089" s="128">
        <v>18</v>
      </c>
      <c r="MD1089" s="129"/>
    </row>
    <row r="1090" spans="338:342">
      <c r="LZ1090" s="126">
        <v>8542</v>
      </c>
      <c r="MA1090" s="127" t="s">
        <v>1159</v>
      </c>
      <c r="MB1090" s="127" t="s">
        <v>1247</v>
      </c>
      <c r="MC1090" s="128">
        <v>22</v>
      </c>
      <c r="MD1090" s="129"/>
    </row>
    <row r="1091" spans="338:342">
      <c r="LZ1091" s="126">
        <v>8401</v>
      </c>
      <c r="MA1091" s="127" t="s">
        <v>1159</v>
      </c>
      <c r="MB1091" s="127" t="s">
        <v>1248</v>
      </c>
      <c r="MC1091" s="128">
        <v>25</v>
      </c>
      <c r="MD1091" s="129"/>
    </row>
    <row r="1092" spans="338:342">
      <c r="LZ1092" s="126">
        <v>8390</v>
      </c>
      <c r="MA1092" s="127" t="s">
        <v>1159</v>
      </c>
      <c r="MB1092" s="127" t="s">
        <v>1249</v>
      </c>
      <c r="MC1092" s="128">
        <v>15.5</v>
      </c>
      <c r="MD1092" s="129"/>
    </row>
    <row r="1093" spans="338:342">
      <c r="LZ1093" s="126">
        <v>8391</v>
      </c>
      <c r="MA1093" s="127" t="s">
        <v>1159</v>
      </c>
      <c r="MB1093" s="127" t="s">
        <v>1249</v>
      </c>
      <c r="MC1093" s="128">
        <v>21.5</v>
      </c>
      <c r="MD1093" s="129"/>
    </row>
    <row r="1094" spans="338:342">
      <c r="LZ1094" s="126">
        <v>8392</v>
      </c>
      <c r="MA1094" s="127" t="s">
        <v>1159</v>
      </c>
      <c r="MB1094" s="127" t="s">
        <v>1249</v>
      </c>
      <c r="MC1094" s="128">
        <v>28.75</v>
      </c>
      <c r="MD1094" s="129"/>
    </row>
    <row r="1095" spans="338:342">
      <c r="LZ1095" s="126">
        <v>8393</v>
      </c>
      <c r="MA1095" s="127" t="s">
        <v>1159</v>
      </c>
      <c r="MB1095" s="127" t="s">
        <v>1249</v>
      </c>
      <c r="MC1095" s="128">
        <v>40</v>
      </c>
      <c r="MD1095" s="129"/>
    </row>
    <row r="1096" spans="338:342">
      <c r="LZ1096" s="126">
        <v>8394</v>
      </c>
      <c r="MA1096" s="127" t="s">
        <v>1159</v>
      </c>
      <c r="MB1096" s="127" t="s">
        <v>1249</v>
      </c>
      <c r="MC1096" s="128">
        <v>52</v>
      </c>
      <c r="MD1096" s="129"/>
    </row>
    <row r="1097" spans="338:342">
      <c r="LZ1097" s="126">
        <v>8395</v>
      </c>
      <c r="MA1097" s="127" t="s">
        <v>1159</v>
      </c>
      <c r="MB1097" s="127" t="s">
        <v>1249</v>
      </c>
      <c r="MC1097" s="128">
        <v>66</v>
      </c>
      <c r="MD1097" s="129"/>
    </row>
    <row r="1098" spans="338:342">
      <c r="LZ1098" s="126">
        <v>8396</v>
      </c>
      <c r="MA1098" s="127" t="s">
        <v>1159</v>
      </c>
      <c r="MB1098" s="127" t="s">
        <v>1249</v>
      </c>
      <c r="MC1098" s="128">
        <v>82</v>
      </c>
      <c r="MD1098" s="129"/>
    </row>
    <row r="1099" spans="338:342">
      <c r="LZ1099" s="126">
        <v>8397</v>
      </c>
      <c r="MA1099" s="127" t="s">
        <v>1159</v>
      </c>
      <c r="MB1099" s="127" t="s">
        <v>1249</v>
      </c>
      <c r="MC1099" s="128">
        <v>95</v>
      </c>
      <c r="MD1099" s="129"/>
    </row>
    <row r="1100" spans="338:342">
      <c r="LZ1100" s="126">
        <v>8398</v>
      </c>
      <c r="MA1100" s="127" t="s">
        <v>1159</v>
      </c>
      <c r="MB1100" s="127" t="s">
        <v>1249</v>
      </c>
      <c r="MC1100" s="128">
        <v>140</v>
      </c>
      <c r="MD1100" s="129"/>
    </row>
    <row r="1101" spans="338:342" ht="40.799999999999997">
      <c r="LZ1101" s="126">
        <v>8570</v>
      </c>
      <c r="MA1101" s="127" t="s">
        <v>1159</v>
      </c>
      <c r="MB1101" s="127" t="s">
        <v>1250</v>
      </c>
      <c r="MC1101" s="128">
        <v>14.75</v>
      </c>
      <c r="MD1101" s="129" t="s">
        <v>1251</v>
      </c>
    </row>
    <row r="1102" spans="338:342" ht="40.799999999999997">
      <c r="LZ1102" s="126">
        <v>8571</v>
      </c>
      <c r="MA1102" s="127" t="s">
        <v>1159</v>
      </c>
      <c r="MB1102" s="127" t="s">
        <v>1250</v>
      </c>
      <c r="MC1102" s="128">
        <v>23.5</v>
      </c>
      <c r="MD1102" s="129" t="s">
        <v>1251</v>
      </c>
    </row>
    <row r="1103" spans="338:342" ht="40.799999999999997">
      <c r="LZ1103" s="126">
        <v>8572</v>
      </c>
      <c r="MA1103" s="127" t="s">
        <v>1159</v>
      </c>
      <c r="MB1103" s="127" t="s">
        <v>1252</v>
      </c>
      <c r="MC1103" s="128">
        <v>33</v>
      </c>
      <c r="MD1103" s="129" t="s">
        <v>1251</v>
      </c>
    </row>
    <row r="1104" spans="338:342" ht="40.799999999999997">
      <c r="LZ1104" s="126">
        <v>8573</v>
      </c>
      <c r="MA1104" s="127" t="s">
        <v>1159</v>
      </c>
      <c r="MB1104" s="127" t="s">
        <v>1252</v>
      </c>
      <c r="MC1104" s="128">
        <v>38</v>
      </c>
      <c r="MD1104" s="129" t="s">
        <v>1251</v>
      </c>
    </row>
    <row r="1105" spans="338:342">
      <c r="LZ1105" s="126">
        <v>8410</v>
      </c>
      <c r="MA1105" s="127" t="s">
        <v>1159</v>
      </c>
      <c r="MB1105" s="127" t="s">
        <v>1253</v>
      </c>
      <c r="MC1105" s="128">
        <v>3.25</v>
      </c>
      <c r="MD1105" s="129"/>
    </row>
    <row r="1106" spans="338:342">
      <c r="LZ1106" s="126">
        <v>8411</v>
      </c>
      <c r="MA1106" s="127" t="s">
        <v>1159</v>
      </c>
      <c r="MB1106" s="127" t="s">
        <v>1253</v>
      </c>
      <c r="MC1106" s="128">
        <v>4.25</v>
      </c>
      <c r="MD1106" s="129"/>
    </row>
    <row r="1107" spans="338:342" ht="20.399999999999999">
      <c r="LZ1107" s="126">
        <v>8412</v>
      </c>
      <c r="MA1107" s="127" t="s">
        <v>1159</v>
      </c>
      <c r="MB1107" s="127" t="s">
        <v>1254</v>
      </c>
      <c r="MC1107" s="128">
        <v>8.75</v>
      </c>
      <c r="MD1107" s="129"/>
    </row>
    <row r="1108" spans="338:342" ht="20.399999999999999">
      <c r="LZ1108" s="126">
        <v>8413</v>
      </c>
      <c r="MA1108" s="127" t="s">
        <v>1159</v>
      </c>
      <c r="MB1108" s="127" t="s">
        <v>1254</v>
      </c>
      <c r="MC1108" s="128">
        <v>15.25</v>
      </c>
      <c r="MD1108" s="129"/>
    </row>
    <row r="1109" spans="338:342">
      <c r="LZ1109" s="126">
        <v>8075</v>
      </c>
      <c r="MA1109" s="127" t="s">
        <v>1173</v>
      </c>
      <c r="MB1109" s="127" t="s">
        <v>1255</v>
      </c>
      <c r="MC1109" s="128">
        <v>0.35</v>
      </c>
      <c r="MD1109" s="129"/>
    </row>
    <row r="1110" spans="338:342">
      <c r="LZ1110" s="126">
        <v>8633</v>
      </c>
      <c r="MA1110" s="127" t="s">
        <v>1159</v>
      </c>
      <c r="MB1110" s="127" t="s">
        <v>1256</v>
      </c>
      <c r="MC1110" s="128">
        <v>10.25</v>
      </c>
      <c r="MD1110" s="129"/>
    </row>
    <row r="1111" spans="338:342">
      <c r="LZ1111" s="126">
        <v>8634</v>
      </c>
      <c r="MA1111" s="127" t="s">
        <v>1159</v>
      </c>
      <c r="MB1111" s="127" t="s">
        <v>1256</v>
      </c>
      <c r="MC1111" s="128">
        <v>15.75</v>
      </c>
      <c r="MD1111" s="129"/>
    </row>
    <row r="1112" spans="338:342">
      <c r="LZ1112" s="126">
        <v>8635</v>
      </c>
      <c r="MA1112" s="127" t="s">
        <v>1159</v>
      </c>
      <c r="MB1112" s="127" t="s">
        <v>1256</v>
      </c>
      <c r="MC1112" s="128">
        <v>24.75</v>
      </c>
      <c r="MD1112" s="129"/>
    </row>
    <row r="1113" spans="338:342" ht="40.799999999999997">
      <c r="LZ1113" s="126">
        <v>8430</v>
      </c>
      <c r="MA1113" s="127" t="s">
        <v>1159</v>
      </c>
      <c r="MB1113" s="127" t="s">
        <v>1257</v>
      </c>
      <c r="MC1113" s="128">
        <v>7</v>
      </c>
      <c r="MD1113" s="129" t="s">
        <v>1258</v>
      </c>
    </row>
    <row r="1114" spans="338:342" ht="40.799999999999997">
      <c r="LZ1114" s="126">
        <v>8431</v>
      </c>
      <c r="MA1114" s="127" t="s">
        <v>1159</v>
      </c>
      <c r="MB1114" s="127" t="s">
        <v>1259</v>
      </c>
      <c r="MC1114" s="128">
        <v>65</v>
      </c>
      <c r="MD1114" s="129" t="s">
        <v>1260</v>
      </c>
    </row>
    <row r="1115" spans="338:342" ht="40.799999999999997">
      <c r="LZ1115" s="126">
        <v>8432</v>
      </c>
      <c r="MA1115" s="127" t="s">
        <v>1159</v>
      </c>
      <c r="MB1115" s="127" t="s">
        <v>1259</v>
      </c>
      <c r="MC1115" s="128">
        <v>115</v>
      </c>
      <c r="MD1115" s="129" t="s">
        <v>1260</v>
      </c>
    </row>
    <row r="1116" spans="338:342" ht="40.799999999999997">
      <c r="LZ1116" s="126">
        <v>8433</v>
      </c>
      <c r="MA1116" s="127" t="s">
        <v>1159</v>
      </c>
      <c r="MB1116" s="127" t="s">
        <v>1259</v>
      </c>
      <c r="MC1116" s="128">
        <v>125</v>
      </c>
      <c r="MD1116" s="129" t="s">
        <v>1260</v>
      </c>
    </row>
    <row r="1117" spans="338:342" ht="40.799999999999997">
      <c r="LZ1117" s="126">
        <v>8434</v>
      </c>
      <c r="MA1117" s="127" t="s">
        <v>1159</v>
      </c>
      <c r="MB1117" s="127" t="s">
        <v>1259</v>
      </c>
      <c r="MC1117" s="128">
        <v>140</v>
      </c>
      <c r="MD1117" s="129" t="s">
        <v>1260</v>
      </c>
    </row>
    <row r="1118" spans="338:342">
      <c r="LZ1118" s="126">
        <v>8436</v>
      </c>
      <c r="MA1118" s="127" t="s">
        <v>1159</v>
      </c>
      <c r="MB1118" s="127" t="s">
        <v>1261</v>
      </c>
      <c r="MC1118" s="128">
        <v>55</v>
      </c>
      <c r="MD1118" s="129"/>
    </row>
    <row r="1119" spans="338:342">
      <c r="LZ1119" s="126">
        <v>8437</v>
      </c>
      <c r="MA1119" s="127" t="s">
        <v>1159</v>
      </c>
      <c r="MB1119" s="127" t="s">
        <v>1261</v>
      </c>
      <c r="MC1119" s="128">
        <v>83</v>
      </c>
      <c r="MD1119" s="129"/>
    </row>
    <row r="1120" spans="338:342">
      <c r="LZ1120" s="126">
        <v>8438</v>
      </c>
      <c r="MA1120" s="127" t="s">
        <v>1159</v>
      </c>
      <c r="MB1120" s="127" t="s">
        <v>1261</v>
      </c>
      <c r="MC1120" s="128">
        <v>110</v>
      </c>
      <c r="MD1120" s="129"/>
    </row>
    <row r="1121" spans="338:342">
      <c r="LZ1121" s="126">
        <v>8439</v>
      </c>
      <c r="MA1121" s="127" t="s">
        <v>1159</v>
      </c>
      <c r="MB1121" s="127" t="s">
        <v>1261</v>
      </c>
      <c r="MC1121" s="128">
        <v>140</v>
      </c>
      <c r="MD1121" s="129"/>
    </row>
    <row r="1122" spans="338:342">
      <c r="LZ1122" s="126">
        <v>8660</v>
      </c>
      <c r="MA1122" s="127" t="s">
        <v>1159</v>
      </c>
      <c r="MB1122" s="127" t="s">
        <v>1262</v>
      </c>
      <c r="MC1122" s="128">
        <v>10.25</v>
      </c>
      <c r="MD1122" s="129"/>
    </row>
    <row r="1123" spans="338:342">
      <c r="LZ1123" s="126">
        <v>8661</v>
      </c>
      <c r="MA1123" s="127" t="s">
        <v>1159</v>
      </c>
      <c r="MB1123" s="127" t="s">
        <v>1262</v>
      </c>
      <c r="MC1123" s="128">
        <v>27.75</v>
      </c>
      <c r="MD1123" s="129"/>
    </row>
    <row r="1124" spans="338:342">
      <c r="LZ1124" s="126">
        <v>8662</v>
      </c>
      <c r="MA1124" s="127" t="s">
        <v>1159</v>
      </c>
      <c r="MB1124" s="127" t="s">
        <v>1262</v>
      </c>
      <c r="MC1124" s="128">
        <v>31.75</v>
      </c>
      <c r="MD1124" s="129"/>
    </row>
    <row r="1125" spans="338:342" ht="30.6">
      <c r="LZ1125" s="126">
        <v>8450</v>
      </c>
      <c r="MA1125" s="127" t="s">
        <v>1159</v>
      </c>
      <c r="MB1125" s="127" t="s">
        <v>1263</v>
      </c>
      <c r="MC1125" s="128">
        <v>16</v>
      </c>
      <c r="MD1125" s="129" t="s">
        <v>1264</v>
      </c>
    </row>
    <row r="1126" spans="338:342" ht="30.6">
      <c r="LZ1126" s="126">
        <v>8451</v>
      </c>
      <c r="MA1126" s="127" t="s">
        <v>1159</v>
      </c>
      <c r="MB1126" s="127" t="s">
        <v>1263</v>
      </c>
      <c r="MC1126" s="128">
        <v>24</v>
      </c>
      <c r="MD1126" s="129" t="s">
        <v>1264</v>
      </c>
    </row>
    <row r="1127" spans="338:342" ht="40.799999999999997">
      <c r="LZ1127" s="126">
        <v>8452</v>
      </c>
      <c r="MA1127" s="127" t="s">
        <v>1159</v>
      </c>
      <c r="MB1127" s="127" t="s">
        <v>1265</v>
      </c>
      <c r="MC1127" s="128">
        <v>10.75</v>
      </c>
      <c r="MD1127" s="129" t="s">
        <v>1223</v>
      </c>
    </row>
    <row r="1128" spans="338:342" ht="61.2">
      <c r="LZ1128" s="126">
        <v>8453</v>
      </c>
      <c r="MA1128" s="127" t="s">
        <v>1159</v>
      </c>
      <c r="MB1128" s="127" t="s">
        <v>1265</v>
      </c>
      <c r="MC1128" s="128">
        <v>18.5</v>
      </c>
      <c r="MD1128" s="129" t="s">
        <v>1266</v>
      </c>
    </row>
    <row r="1129" spans="338:342" ht="30.6">
      <c r="LZ1129" s="126">
        <v>8470</v>
      </c>
      <c r="MA1129" s="127" t="s">
        <v>1159</v>
      </c>
      <c r="MB1129" s="127" t="s">
        <v>1267</v>
      </c>
      <c r="MC1129" s="128">
        <v>2.15</v>
      </c>
      <c r="MD1129" s="129" t="s">
        <v>1268</v>
      </c>
    </row>
    <row r="1130" spans="338:342" ht="30.6">
      <c r="LZ1130" s="126">
        <v>8471</v>
      </c>
      <c r="MA1130" s="127" t="s">
        <v>1159</v>
      </c>
      <c r="MB1130" s="127" t="s">
        <v>1267</v>
      </c>
      <c r="MC1130" s="128">
        <v>3.2</v>
      </c>
      <c r="MD1130" s="129" t="s">
        <v>1268</v>
      </c>
    </row>
    <row r="1131" spans="338:342" ht="30.6">
      <c r="LZ1131" s="126">
        <v>8472</v>
      </c>
      <c r="MA1131" s="127" t="s">
        <v>1159</v>
      </c>
      <c r="MB1131" s="127" t="s">
        <v>1267</v>
      </c>
      <c r="MC1131" s="128">
        <v>4.0999999999999996</v>
      </c>
      <c r="MD1131" s="129" t="s">
        <v>1268</v>
      </c>
    </row>
    <row r="1132" spans="338:342" ht="30.6">
      <c r="LZ1132" s="126">
        <v>8473</v>
      </c>
      <c r="MA1132" s="127" t="s">
        <v>1159</v>
      </c>
      <c r="MB1132" s="127" t="s">
        <v>1267</v>
      </c>
      <c r="MC1132" s="128">
        <v>7.75</v>
      </c>
      <c r="MD1132" s="129" t="s">
        <v>1268</v>
      </c>
    </row>
    <row r="1133" spans="338:342" ht="30.6">
      <c r="LZ1133" s="126">
        <v>8474</v>
      </c>
      <c r="MA1133" s="127" t="s">
        <v>1159</v>
      </c>
      <c r="MB1133" s="127" t="s">
        <v>1267</v>
      </c>
      <c r="MC1133" s="128">
        <v>9.25</v>
      </c>
      <c r="MD1133" s="129" t="s">
        <v>1268</v>
      </c>
    </row>
    <row r="1134" spans="338:342" ht="30.6">
      <c r="LZ1134" s="126">
        <v>8475</v>
      </c>
      <c r="MA1134" s="127" t="s">
        <v>1159</v>
      </c>
      <c r="MB1134" s="127" t="s">
        <v>1267</v>
      </c>
      <c r="MC1134" s="128">
        <v>16</v>
      </c>
      <c r="MD1134" s="129" t="s">
        <v>1268</v>
      </c>
    </row>
    <row r="1135" spans="338:342" ht="30.6">
      <c r="LZ1135" s="126">
        <v>8476</v>
      </c>
      <c r="MA1135" s="127" t="s">
        <v>1159</v>
      </c>
      <c r="MB1135" s="127" t="s">
        <v>1267</v>
      </c>
      <c r="MC1135" s="128">
        <v>18.75</v>
      </c>
      <c r="MD1135" s="129" t="s">
        <v>1268</v>
      </c>
    </row>
    <row r="1136" spans="338:342" ht="30.6">
      <c r="LZ1136" s="126">
        <v>8477</v>
      </c>
      <c r="MA1136" s="127" t="s">
        <v>1159</v>
      </c>
      <c r="MB1136" s="127" t="s">
        <v>1267</v>
      </c>
      <c r="MC1136" s="128">
        <v>26.5</v>
      </c>
      <c r="MD1136" s="129" t="s">
        <v>1268</v>
      </c>
    </row>
    <row r="1137" spans="338:342" ht="30.6">
      <c r="LZ1137" s="126">
        <v>8478</v>
      </c>
      <c r="MA1137" s="127" t="s">
        <v>1159</v>
      </c>
      <c r="MB1137" s="127" t="s">
        <v>1267</v>
      </c>
      <c r="MC1137" s="128">
        <v>31</v>
      </c>
      <c r="MD1137" s="129" t="s">
        <v>1268</v>
      </c>
    </row>
    <row r="1138" spans="338:342" ht="30.6">
      <c r="LZ1138" s="126">
        <v>8479</v>
      </c>
      <c r="MA1138" s="127" t="s">
        <v>1159</v>
      </c>
      <c r="MB1138" s="127" t="s">
        <v>1267</v>
      </c>
      <c r="MC1138" s="128">
        <v>36</v>
      </c>
      <c r="MD1138" s="129" t="s">
        <v>1268</v>
      </c>
    </row>
    <row r="1139" spans="338:342" ht="30.6">
      <c r="LZ1139" s="126">
        <v>8480</v>
      </c>
      <c r="MA1139" s="127" t="s">
        <v>1159</v>
      </c>
      <c r="MB1139" s="127" t="s">
        <v>1267</v>
      </c>
      <c r="MC1139" s="128">
        <v>80</v>
      </c>
      <c r="MD1139" s="129" t="s">
        <v>1268</v>
      </c>
    </row>
    <row r="1140" spans="338:342" ht="30.6">
      <c r="LZ1140" s="126">
        <v>8481</v>
      </c>
      <c r="MA1140" s="127" t="s">
        <v>1159</v>
      </c>
      <c r="MB1140" s="127" t="s">
        <v>1267</v>
      </c>
      <c r="MC1140" s="128">
        <v>95</v>
      </c>
      <c r="MD1140" s="129" t="s">
        <v>1268</v>
      </c>
    </row>
    <row r="1141" spans="338:342" ht="30.6">
      <c r="LZ1141" s="126">
        <v>8482</v>
      </c>
      <c r="MA1141" s="127" t="s">
        <v>1159</v>
      </c>
      <c r="MB1141" s="127" t="s">
        <v>1267</v>
      </c>
      <c r="MC1141" s="128">
        <v>120</v>
      </c>
      <c r="MD1141" s="129" t="s">
        <v>1268</v>
      </c>
    </row>
    <row r="1142" spans="338:342" ht="30.6">
      <c r="LZ1142" s="126">
        <v>8483</v>
      </c>
      <c r="MA1142" s="127" t="s">
        <v>1159</v>
      </c>
      <c r="MB1142" s="127" t="s">
        <v>1267</v>
      </c>
      <c r="MC1142" s="128">
        <v>135</v>
      </c>
      <c r="MD1142" s="129" t="s">
        <v>1268</v>
      </c>
    </row>
    <row r="1143" spans="338:342" ht="30.6">
      <c r="LZ1143" s="126">
        <v>8484</v>
      </c>
      <c r="MA1143" s="127" t="s">
        <v>1159</v>
      </c>
      <c r="MB1143" s="127" t="s">
        <v>1267</v>
      </c>
      <c r="MC1143" s="128">
        <v>155</v>
      </c>
      <c r="MD1143" s="129" t="s">
        <v>1268</v>
      </c>
    </row>
    <row r="1144" spans="338:342" ht="30.6">
      <c r="LZ1144" s="126">
        <v>8485</v>
      </c>
      <c r="MA1144" s="127" t="s">
        <v>1159</v>
      </c>
      <c r="MB1144" s="127" t="s">
        <v>1267</v>
      </c>
      <c r="MC1144" s="128">
        <v>180</v>
      </c>
      <c r="MD1144" s="129" t="s">
        <v>1268</v>
      </c>
    </row>
    <row r="1145" spans="338:342">
      <c r="LZ1145" s="126">
        <v>8510</v>
      </c>
      <c r="MA1145" s="127" t="s">
        <v>1159</v>
      </c>
      <c r="MB1145" s="127" t="s">
        <v>1269</v>
      </c>
      <c r="MC1145" s="128">
        <v>6</v>
      </c>
      <c r="MD1145" s="129"/>
    </row>
    <row r="1146" spans="338:342">
      <c r="LZ1146" s="126">
        <v>8511</v>
      </c>
      <c r="MA1146" s="127" t="s">
        <v>1159</v>
      </c>
      <c r="MB1146" s="127" t="s">
        <v>1269</v>
      </c>
      <c r="MC1146" s="128">
        <v>13.5</v>
      </c>
      <c r="MD1146" s="129"/>
    </row>
    <row r="1147" spans="338:342">
      <c r="LZ1147" s="126">
        <v>8512</v>
      </c>
      <c r="MA1147" s="127" t="s">
        <v>1159</v>
      </c>
      <c r="MB1147" s="127" t="s">
        <v>1269</v>
      </c>
      <c r="MC1147" s="128">
        <v>23</v>
      </c>
      <c r="MD1147" s="129"/>
    </row>
    <row r="1148" spans="338:342">
      <c r="LZ1148" s="126">
        <v>8513</v>
      </c>
      <c r="MA1148" s="127" t="s">
        <v>1159</v>
      </c>
      <c r="MB1148" s="127" t="s">
        <v>1270</v>
      </c>
      <c r="MC1148" s="128">
        <v>30</v>
      </c>
      <c r="MD1148" s="129"/>
    </row>
    <row r="1149" spans="338:342">
      <c r="LZ1149" s="126">
        <v>8514</v>
      </c>
      <c r="MA1149" s="127" t="s">
        <v>1159</v>
      </c>
      <c r="MB1149" s="127" t="s">
        <v>1270</v>
      </c>
      <c r="MC1149" s="128">
        <v>60</v>
      </c>
      <c r="MD1149" s="129"/>
    </row>
    <row r="1150" spans="338:342">
      <c r="LZ1150" s="126">
        <v>8521</v>
      </c>
      <c r="MA1150" s="127" t="s">
        <v>1159</v>
      </c>
      <c r="MB1150" s="127" t="s">
        <v>1271</v>
      </c>
      <c r="MC1150" s="128">
        <v>90</v>
      </c>
      <c r="MD1150" s="129"/>
    </row>
    <row r="1151" spans="338:342">
      <c r="LZ1151" s="126">
        <v>8522</v>
      </c>
      <c r="MA1151" s="127" t="s">
        <v>1159</v>
      </c>
      <c r="MB1151" s="127" t="s">
        <v>1271</v>
      </c>
      <c r="MC1151" s="128">
        <v>130</v>
      </c>
      <c r="MD1151" s="129"/>
    </row>
    <row r="1152" spans="338:342">
      <c r="LZ1152" s="126">
        <v>8523</v>
      </c>
      <c r="MA1152" s="127" t="s">
        <v>1159</v>
      </c>
      <c r="MB1152" s="127" t="s">
        <v>1271</v>
      </c>
      <c r="MC1152" s="128">
        <v>200</v>
      </c>
      <c r="MD1152" s="129"/>
    </row>
    <row r="1153" spans="338:342">
      <c r="LZ1153" s="126">
        <v>8524</v>
      </c>
      <c r="MA1153" s="127" t="s">
        <v>1159</v>
      </c>
      <c r="MB1153" s="127" t="s">
        <v>1271</v>
      </c>
      <c r="MC1153" s="128">
        <v>240</v>
      </c>
      <c r="MD1153" s="129"/>
    </row>
    <row r="1154" spans="338:342">
      <c r="LZ1154" s="126">
        <v>8560</v>
      </c>
      <c r="MA1154" s="127" t="s">
        <v>1159</v>
      </c>
      <c r="MB1154" s="127" t="s">
        <v>1272</v>
      </c>
      <c r="MC1154" s="128">
        <v>140</v>
      </c>
      <c r="MD1154" s="129"/>
    </row>
    <row r="1155" spans="338:342">
      <c r="LZ1155" s="126">
        <v>8561</v>
      </c>
      <c r="MA1155" s="127" t="s">
        <v>1159</v>
      </c>
      <c r="MB1155" s="127" t="s">
        <v>1272</v>
      </c>
      <c r="MC1155" s="128">
        <v>160</v>
      </c>
      <c r="MD1155" s="129"/>
    </row>
    <row r="1156" spans="338:342">
      <c r="LZ1156" s="126">
        <v>8562</v>
      </c>
      <c r="MA1156" s="127" t="s">
        <v>1159</v>
      </c>
      <c r="MB1156" s="127" t="s">
        <v>1272</v>
      </c>
      <c r="MC1156" s="128">
        <v>180</v>
      </c>
      <c r="MD1156" s="129"/>
    </row>
    <row r="1157" spans="338:342" ht="30.6">
      <c r="LZ1157" s="126">
        <v>8550</v>
      </c>
      <c r="MA1157" s="127" t="s">
        <v>1159</v>
      </c>
      <c r="MB1157" s="127" t="s">
        <v>1273</v>
      </c>
      <c r="MC1157" s="128">
        <v>37.5</v>
      </c>
      <c r="MD1157" s="129" t="s">
        <v>1274</v>
      </c>
    </row>
    <row r="1158" spans="338:342" ht="30.6">
      <c r="LZ1158" s="126">
        <v>8551</v>
      </c>
      <c r="MA1158" s="127" t="s">
        <v>1159</v>
      </c>
      <c r="MB1158" s="127" t="s">
        <v>1273</v>
      </c>
      <c r="MC1158" s="128">
        <v>70</v>
      </c>
      <c r="MD1158" s="129" t="s">
        <v>1274</v>
      </c>
    </row>
    <row r="1159" spans="338:342" ht="30.6">
      <c r="LZ1159" s="126">
        <v>8552</v>
      </c>
      <c r="MA1159" s="127" t="s">
        <v>1159</v>
      </c>
      <c r="MB1159" s="127" t="s">
        <v>1273</v>
      </c>
      <c r="MC1159" s="128">
        <v>110</v>
      </c>
      <c r="MD1159" s="129" t="s">
        <v>1274</v>
      </c>
    </row>
    <row r="1160" spans="338:342" ht="30.6">
      <c r="LZ1160" s="126">
        <v>8553</v>
      </c>
      <c r="MA1160" s="127" t="s">
        <v>1159</v>
      </c>
      <c r="MB1160" s="127" t="s">
        <v>1273</v>
      </c>
      <c r="MC1160" s="128">
        <v>120</v>
      </c>
      <c r="MD1160" s="129" t="s">
        <v>1274</v>
      </c>
    </row>
    <row r="1161" spans="338:342" ht="20.399999999999999">
      <c r="LZ1161" s="126">
        <v>8558</v>
      </c>
      <c r="MA1161" s="127" t="s">
        <v>1159</v>
      </c>
      <c r="MB1161" s="127" t="s">
        <v>1275</v>
      </c>
      <c r="MC1161" s="128">
        <v>3.25</v>
      </c>
      <c r="MD1161" s="129"/>
    </row>
    <row r="1162" spans="338:342" ht="20.399999999999999">
      <c r="LZ1162" s="126">
        <v>8559</v>
      </c>
      <c r="MA1162" s="127" t="s">
        <v>1159</v>
      </c>
      <c r="MB1162" s="127" t="s">
        <v>1275</v>
      </c>
      <c r="MC1162" s="128">
        <v>7</v>
      </c>
      <c r="MD1162" s="129"/>
    </row>
    <row r="1163" spans="338:342" ht="71.400000000000006">
      <c r="LZ1163" s="126">
        <v>8630</v>
      </c>
      <c r="MA1163" s="127" t="s">
        <v>1159</v>
      </c>
      <c r="MB1163" s="127" t="s">
        <v>1276</v>
      </c>
      <c r="MC1163" s="128">
        <v>9.75</v>
      </c>
      <c r="MD1163" s="129" t="s">
        <v>1277</v>
      </c>
    </row>
    <row r="1164" spans="338:342" ht="71.400000000000006">
      <c r="LZ1164" s="126">
        <v>8631</v>
      </c>
      <c r="MA1164" s="127" t="s">
        <v>1159</v>
      </c>
      <c r="MB1164" s="127" t="s">
        <v>1276</v>
      </c>
      <c r="MC1164" s="128">
        <v>15</v>
      </c>
      <c r="MD1164" s="129" t="s">
        <v>1277</v>
      </c>
    </row>
    <row r="1165" spans="338:342" ht="71.400000000000006">
      <c r="LZ1165" s="126">
        <v>8632</v>
      </c>
      <c r="MA1165" s="127" t="s">
        <v>1159</v>
      </c>
      <c r="MB1165" s="127" t="s">
        <v>1276</v>
      </c>
      <c r="MC1165" s="128">
        <v>25.75</v>
      </c>
      <c r="MD1165" s="129" t="s">
        <v>1277</v>
      </c>
    </row>
    <row r="1166" spans="338:342" ht="40.799999999999997">
      <c r="LZ1166" s="126">
        <v>8458</v>
      </c>
      <c r="MA1166" s="127" t="s">
        <v>1159</v>
      </c>
      <c r="MB1166" s="127" t="s">
        <v>1278</v>
      </c>
      <c r="MC1166" s="128">
        <v>4</v>
      </c>
      <c r="MD1166" s="129" t="s">
        <v>1279</v>
      </c>
    </row>
    <row r="1167" spans="338:342">
      <c r="LZ1167" s="126">
        <v>8423</v>
      </c>
      <c r="MA1167" s="127" t="s">
        <v>1159</v>
      </c>
      <c r="MB1167" s="127" t="s">
        <v>1280</v>
      </c>
      <c r="MC1167" s="128">
        <v>50</v>
      </c>
      <c r="MD1167" s="129"/>
    </row>
    <row r="1168" spans="338:342">
      <c r="LZ1168" s="126">
        <v>8424</v>
      </c>
      <c r="MA1168" s="127" t="s">
        <v>1159</v>
      </c>
      <c r="MB1168" s="127" t="s">
        <v>1280</v>
      </c>
      <c r="MC1168" s="128">
        <v>80</v>
      </c>
      <c r="MD1168" s="129"/>
    </row>
    <row r="1169" spans="338:342" ht="30.6">
      <c r="LZ1169" s="126">
        <v>8425</v>
      </c>
      <c r="MA1169" s="127" t="s">
        <v>1159</v>
      </c>
      <c r="MB1169" s="127" t="s">
        <v>1281</v>
      </c>
      <c r="MC1169" s="128">
        <v>3.3</v>
      </c>
      <c r="MD1169" s="129" t="s">
        <v>1282</v>
      </c>
    </row>
    <row r="1170" spans="338:342">
      <c r="LZ1170" s="126">
        <v>8455</v>
      </c>
      <c r="MA1170" s="127" t="s">
        <v>1159</v>
      </c>
      <c r="MB1170" s="127" t="s">
        <v>1283</v>
      </c>
      <c r="MC1170" s="128">
        <v>3.3</v>
      </c>
      <c r="MD1170" s="129"/>
    </row>
    <row r="1171" spans="338:342">
      <c r="LZ1171" s="126">
        <v>8456</v>
      </c>
      <c r="MA1171" s="127" t="s">
        <v>1159</v>
      </c>
      <c r="MB1171" s="127" t="s">
        <v>1283</v>
      </c>
      <c r="MC1171" s="128">
        <v>5.5</v>
      </c>
      <c r="MD1171" s="129"/>
    </row>
    <row r="1172" spans="338:342">
      <c r="LZ1172" s="126">
        <v>8457</v>
      </c>
      <c r="MA1172" s="127" t="s">
        <v>1159</v>
      </c>
      <c r="MB1172" s="127" t="s">
        <v>1283</v>
      </c>
      <c r="MC1172" s="128">
        <v>7.5</v>
      </c>
      <c r="MD1172" s="129"/>
    </row>
    <row r="1173" spans="338:342">
      <c r="LZ1173" s="126">
        <v>8440</v>
      </c>
      <c r="MA1173" s="127" t="s">
        <v>1159</v>
      </c>
      <c r="MB1173" s="127" t="s">
        <v>1284</v>
      </c>
      <c r="MC1173" s="128">
        <v>8.75</v>
      </c>
      <c r="MD1173" s="129"/>
    </row>
    <row r="1174" spans="338:342">
      <c r="LZ1174" s="126">
        <v>8441</v>
      </c>
      <c r="MA1174" s="127" t="s">
        <v>1159</v>
      </c>
      <c r="MB1174" s="127" t="s">
        <v>1284</v>
      </c>
      <c r="MC1174" s="128">
        <v>19</v>
      </c>
      <c r="MD1174" s="129"/>
    </row>
    <row r="1175" spans="338:342">
      <c r="LZ1175" s="126">
        <v>8442</v>
      </c>
      <c r="MA1175" s="127" t="s">
        <v>1159</v>
      </c>
      <c r="MB1175" s="127" t="s">
        <v>1284</v>
      </c>
      <c r="MC1175" s="128">
        <v>37</v>
      </c>
      <c r="MD1175" s="129"/>
    </row>
    <row r="1176" spans="338:342">
      <c r="LZ1176" s="126">
        <v>8445</v>
      </c>
      <c r="MA1176" s="127" t="s">
        <v>1159</v>
      </c>
      <c r="MB1176" s="127" t="s">
        <v>1285</v>
      </c>
      <c r="MC1176" s="128">
        <v>70</v>
      </c>
      <c r="MD1176" s="129"/>
    </row>
    <row r="1177" spans="338:342">
      <c r="LZ1177" s="126">
        <v>8446</v>
      </c>
      <c r="MA1177" s="127" t="s">
        <v>1159</v>
      </c>
      <c r="MB1177" s="127" t="s">
        <v>1286</v>
      </c>
      <c r="MC1177" s="128">
        <v>3.35</v>
      </c>
      <c r="MD1177" s="129"/>
    </row>
    <row r="1178" spans="338:342">
      <c r="LZ1178" s="126">
        <v>8157</v>
      </c>
      <c r="MA1178" s="127" t="s">
        <v>1159</v>
      </c>
      <c r="MB1178" s="127" t="s">
        <v>1287</v>
      </c>
      <c r="MC1178" s="128">
        <v>59</v>
      </c>
      <c r="MD1178" s="129"/>
    </row>
    <row r="1179" spans="338:342">
      <c r="LZ1179" s="126">
        <v>8158</v>
      </c>
      <c r="MA1179" s="127" t="s">
        <v>1159</v>
      </c>
      <c r="MB1179" s="127" t="s">
        <v>1287</v>
      </c>
      <c r="MC1179" s="128">
        <v>74</v>
      </c>
      <c r="MD1179" s="129"/>
    </row>
    <row r="1180" spans="338:342" ht="40.799999999999997">
      <c r="LZ1180" s="126">
        <v>8590</v>
      </c>
      <c r="MA1180" s="127" t="s">
        <v>1159</v>
      </c>
      <c r="MB1180" s="127" t="s">
        <v>1288</v>
      </c>
      <c r="MC1180" s="128">
        <v>8</v>
      </c>
      <c r="MD1180" s="129" t="s">
        <v>1258</v>
      </c>
    </row>
    <row r="1181" spans="338:342" ht="40.799999999999997">
      <c r="LZ1181" s="126">
        <v>8591</v>
      </c>
      <c r="MA1181" s="131" t="s">
        <v>1159</v>
      </c>
      <c r="MB1181" s="131" t="s">
        <v>1288</v>
      </c>
      <c r="MC1181" s="132">
        <v>14</v>
      </c>
      <c r="MD1181" s="133" t="s">
        <v>1258</v>
      </c>
    </row>
    <row r="1182" spans="338:342">
      <c r="LZ1182" s="126">
        <v>8600</v>
      </c>
      <c r="MA1182" s="131" t="s">
        <v>1159</v>
      </c>
      <c r="MB1182" s="131" t="s">
        <v>1289</v>
      </c>
      <c r="MC1182" s="132">
        <v>10.25</v>
      </c>
      <c r="MD1182" s="133"/>
    </row>
    <row r="1183" spans="338:342">
      <c r="LZ1183" s="126">
        <v>8601</v>
      </c>
      <c r="MA1183" s="131" t="s">
        <v>1159</v>
      </c>
      <c r="MB1183" s="131" t="s">
        <v>1289</v>
      </c>
      <c r="MC1183" s="132">
        <v>12.5</v>
      </c>
      <c r="MD1183" s="133"/>
    </row>
    <row r="1184" spans="338:342">
      <c r="LZ1184" s="126">
        <v>8602</v>
      </c>
      <c r="MA1184" s="131" t="s">
        <v>1159</v>
      </c>
      <c r="MB1184" s="131" t="s">
        <v>1289</v>
      </c>
      <c r="MC1184" s="132">
        <v>15</v>
      </c>
      <c r="MD1184" s="133"/>
    </row>
    <row r="1185" spans="338:342">
      <c r="LZ1185" s="126">
        <v>8603</v>
      </c>
      <c r="MA1185" s="131" t="s">
        <v>1159</v>
      </c>
      <c r="MB1185" s="131" t="s">
        <v>1289</v>
      </c>
      <c r="MC1185" s="132">
        <v>25</v>
      </c>
      <c r="MD1185" s="133"/>
    </row>
    <row r="1186" spans="338:342">
      <c r="LZ1186" s="126">
        <v>8640</v>
      </c>
      <c r="MA1186" s="131" t="s">
        <v>1159</v>
      </c>
      <c r="MB1186" s="131" t="s">
        <v>1290</v>
      </c>
      <c r="MC1186" s="132">
        <v>1.7</v>
      </c>
      <c r="MD1186" s="133"/>
    </row>
    <row r="1187" spans="338:342">
      <c r="LZ1187" s="126">
        <v>8641</v>
      </c>
      <c r="MA1187" s="131" t="s">
        <v>1159</v>
      </c>
      <c r="MB1187" s="131" t="s">
        <v>1290</v>
      </c>
      <c r="MC1187" s="132">
        <v>1.75</v>
      </c>
      <c r="MD1187" s="133"/>
    </row>
    <row r="1188" spans="338:342">
      <c r="LZ1188" s="126">
        <v>8642</v>
      </c>
      <c r="MA1188" s="131" t="s">
        <v>1159</v>
      </c>
      <c r="MB1188" s="131" t="s">
        <v>1290</v>
      </c>
      <c r="MC1188" s="132">
        <v>2.6</v>
      </c>
      <c r="MD1188" s="133"/>
    </row>
    <row r="1189" spans="338:342" ht="61.2">
      <c r="LZ1189" s="126">
        <v>8610</v>
      </c>
      <c r="MA1189" s="131" t="s">
        <v>1159</v>
      </c>
      <c r="MB1189" s="131" t="s">
        <v>1291</v>
      </c>
      <c r="MC1189" s="132">
        <v>11</v>
      </c>
      <c r="MD1189" s="133" t="s">
        <v>1292</v>
      </c>
    </row>
    <row r="1190" spans="338:342" ht="61.2">
      <c r="LZ1190" s="126">
        <v>8611</v>
      </c>
      <c r="MA1190" s="131" t="s">
        <v>1159</v>
      </c>
      <c r="MB1190" s="131" t="s">
        <v>1291</v>
      </c>
      <c r="MC1190" s="132">
        <v>14</v>
      </c>
      <c r="MD1190" s="133" t="s">
        <v>1292</v>
      </c>
    </row>
    <row r="1191" spans="338:342" ht="61.2">
      <c r="LZ1191" s="126">
        <v>8612</v>
      </c>
      <c r="MA1191" s="131" t="s">
        <v>1159</v>
      </c>
      <c r="MB1191" s="131" t="s">
        <v>1291</v>
      </c>
      <c r="MC1191" s="132">
        <v>16.5</v>
      </c>
      <c r="MD1191" s="133" t="s">
        <v>1292</v>
      </c>
    </row>
    <row r="1192" spans="338:342" ht="61.2">
      <c r="LZ1192" s="126">
        <v>8613</v>
      </c>
      <c r="MA1192" s="131" t="s">
        <v>1159</v>
      </c>
      <c r="MB1192" s="131" t="s">
        <v>1291</v>
      </c>
      <c r="MC1192" s="132">
        <v>20.5</v>
      </c>
      <c r="MD1192" s="133" t="s">
        <v>1292</v>
      </c>
    </row>
    <row r="1193" spans="338:342" ht="71.400000000000006">
      <c r="LZ1193" s="126">
        <v>8650</v>
      </c>
      <c r="MA1193" s="131" t="s">
        <v>1159</v>
      </c>
      <c r="MB1193" s="131" t="s">
        <v>1293</v>
      </c>
      <c r="MC1193" s="132">
        <v>11.75</v>
      </c>
      <c r="MD1193" s="133" t="s">
        <v>1294</v>
      </c>
    </row>
    <row r="1194" spans="338:342" ht="71.400000000000006">
      <c r="LZ1194" s="126">
        <v>8651</v>
      </c>
      <c r="MA1194" s="131" t="s">
        <v>1159</v>
      </c>
      <c r="MB1194" s="131" t="s">
        <v>1293</v>
      </c>
      <c r="MC1194" s="132">
        <v>25</v>
      </c>
      <c r="MD1194" s="133" t="s">
        <v>1294</v>
      </c>
    </row>
    <row r="1195" spans="338:342">
      <c r="LZ1195" s="126">
        <v>8290</v>
      </c>
      <c r="MA1195" s="131" t="s">
        <v>1159</v>
      </c>
      <c r="MB1195" s="131" t="s">
        <v>1295</v>
      </c>
      <c r="MC1195" s="132">
        <v>4.5</v>
      </c>
      <c r="MD1195" s="133"/>
    </row>
    <row r="1196" spans="338:342">
      <c r="LZ1196" s="126">
        <v>8680</v>
      </c>
      <c r="MA1196" s="131" t="s">
        <v>1159</v>
      </c>
      <c r="MB1196" s="131" t="s">
        <v>1296</v>
      </c>
      <c r="MC1196" s="132">
        <v>75</v>
      </c>
      <c r="MD1196" s="133"/>
    </row>
    <row r="1197" spans="338:342">
      <c r="LZ1197" s="126">
        <v>8720</v>
      </c>
      <c r="MA1197" s="131" t="s">
        <v>1159</v>
      </c>
      <c r="MB1197" s="131" t="s">
        <v>1297</v>
      </c>
      <c r="MC1197" s="132">
        <v>35</v>
      </c>
      <c r="MD1197" s="133"/>
    </row>
    <row r="1198" spans="338:342">
      <c r="LZ1198" s="126">
        <v>8721</v>
      </c>
      <c r="MA1198" s="131" t="s">
        <v>1159</v>
      </c>
      <c r="MB1198" s="131" t="s">
        <v>1297</v>
      </c>
      <c r="MC1198" s="132">
        <v>45</v>
      </c>
      <c r="MD1198" s="133"/>
    </row>
    <row r="1199" spans="338:342">
      <c r="LZ1199" s="126">
        <v>8722</v>
      </c>
      <c r="MA1199" s="131" t="s">
        <v>1159</v>
      </c>
      <c r="MB1199" s="131" t="s">
        <v>1297</v>
      </c>
      <c r="MC1199" s="132">
        <v>60</v>
      </c>
      <c r="MD1199" s="133"/>
    </row>
    <row r="1200" spans="338:342">
      <c r="LZ1200" s="126">
        <v>8723</v>
      </c>
      <c r="MA1200" s="131" t="s">
        <v>1159</v>
      </c>
      <c r="MB1200" s="131" t="s">
        <v>1297</v>
      </c>
      <c r="MC1200" s="132">
        <v>65</v>
      </c>
      <c r="MD1200" s="133"/>
    </row>
    <row r="1201" spans="338:342">
      <c r="LZ1201" s="126">
        <v>8724</v>
      </c>
      <c r="MA1201" s="131" t="s">
        <v>1159</v>
      </c>
      <c r="MB1201" s="131" t="s">
        <v>1298</v>
      </c>
      <c r="MC1201" s="132">
        <v>105</v>
      </c>
      <c r="MD1201" s="133"/>
    </row>
    <row r="1202" spans="338:342">
      <c r="LZ1202" s="126">
        <v>8690</v>
      </c>
      <c r="MA1202" s="131" t="s">
        <v>1159</v>
      </c>
      <c r="MB1202" s="131" t="s">
        <v>1299</v>
      </c>
      <c r="MC1202" s="132">
        <v>70</v>
      </c>
      <c r="MD1202" s="133"/>
    </row>
    <row r="1203" spans="338:342">
      <c r="LZ1203" s="126">
        <v>8691</v>
      </c>
      <c r="MA1203" s="131" t="s">
        <v>1159</v>
      </c>
      <c r="MB1203" s="131" t="s">
        <v>1299</v>
      </c>
      <c r="MC1203" s="132">
        <v>80</v>
      </c>
      <c r="MD1203" s="133"/>
    </row>
    <row r="1204" spans="338:342">
      <c r="LZ1204" s="126">
        <v>8692</v>
      </c>
      <c r="MA1204" s="131" t="s">
        <v>1159</v>
      </c>
      <c r="MB1204" s="131" t="s">
        <v>1299</v>
      </c>
      <c r="MC1204" s="132">
        <v>85</v>
      </c>
      <c r="MD1204" s="133"/>
    </row>
    <row r="1205" spans="338:342">
      <c r="LZ1205" s="126">
        <v>8693</v>
      </c>
      <c r="MA1205" s="131" t="s">
        <v>1159</v>
      </c>
      <c r="MB1205" s="131" t="s">
        <v>1299</v>
      </c>
      <c r="MC1205" s="132">
        <v>90</v>
      </c>
      <c r="MD1205" s="133"/>
    </row>
    <row r="1206" spans="338:342">
      <c r="LZ1206" s="126">
        <v>8694</v>
      </c>
      <c r="MA1206" s="131" t="s">
        <v>1159</v>
      </c>
      <c r="MB1206" s="131" t="s">
        <v>1300</v>
      </c>
      <c r="MC1206" s="132">
        <v>125</v>
      </c>
      <c r="MD1206" s="133"/>
    </row>
    <row r="1207" spans="338:342">
      <c r="LZ1207" s="126">
        <v>8695</v>
      </c>
      <c r="MA1207" s="131" t="s">
        <v>1159</v>
      </c>
      <c r="MB1207" s="131" t="s">
        <v>1300</v>
      </c>
      <c r="MC1207" s="132">
        <v>150</v>
      </c>
      <c r="MD1207" s="133"/>
    </row>
    <row r="1208" spans="338:342">
      <c r="LZ1208" s="126">
        <v>8700</v>
      </c>
      <c r="MA1208" s="131" t="s">
        <v>1159</v>
      </c>
      <c r="MB1208" s="131" t="s">
        <v>1301</v>
      </c>
      <c r="MC1208" s="132">
        <v>20</v>
      </c>
      <c r="MD1208" s="133"/>
    </row>
    <row r="1209" spans="338:342">
      <c r="LZ1209" s="126">
        <v>8701</v>
      </c>
      <c r="MA1209" s="131" t="s">
        <v>1159</v>
      </c>
      <c r="MB1209" s="131" t="s">
        <v>1301</v>
      </c>
      <c r="MC1209" s="132">
        <v>22</v>
      </c>
      <c r="MD1209" s="133"/>
    </row>
    <row r="1210" spans="338:342">
      <c r="LZ1210" s="126">
        <v>8702</v>
      </c>
      <c r="MA1210" s="131" t="s">
        <v>1159</v>
      </c>
      <c r="MB1210" s="131" t="s">
        <v>1301</v>
      </c>
      <c r="MC1210" s="132">
        <v>25</v>
      </c>
      <c r="MD1210" s="133"/>
    </row>
    <row r="1211" spans="338:342">
      <c r="LZ1211" s="126">
        <v>8703</v>
      </c>
      <c r="MA1211" s="131" t="s">
        <v>1159</v>
      </c>
      <c r="MB1211" s="131" t="s">
        <v>1301</v>
      </c>
      <c r="MC1211" s="132">
        <v>43</v>
      </c>
      <c r="MD1211" s="133"/>
    </row>
    <row r="1212" spans="338:342">
      <c r="LZ1212" s="126">
        <v>8730</v>
      </c>
      <c r="MA1212" s="131" t="s">
        <v>1159</v>
      </c>
      <c r="MB1212" s="131" t="s">
        <v>1302</v>
      </c>
      <c r="MC1212" s="132">
        <v>47</v>
      </c>
      <c r="MD1212" s="133"/>
    </row>
    <row r="1213" spans="338:342" ht="13.35" customHeight="1">
      <c r="LZ1213" s="126">
        <v>8731</v>
      </c>
      <c r="MA1213" s="131" t="s">
        <v>1159</v>
      </c>
      <c r="MB1213" s="131" t="s">
        <v>1302</v>
      </c>
      <c r="MC1213" s="134" t="s">
        <v>1303</v>
      </c>
      <c r="MD1213" s="133"/>
    </row>
    <row r="1214" spans="338:342" ht="20.399999999999999">
      <c r="LZ1214" s="126">
        <v>8800</v>
      </c>
      <c r="MA1214" s="131" t="s">
        <v>1173</v>
      </c>
      <c r="MB1214" s="131" t="s">
        <v>1304</v>
      </c>
      <c r="MC1214" s="135">
        <v>0.5</v>
      </c>
      <c r="MD1214" s="133" t="s">
        <v>1175</v>
      </c>
    </row>
    <row r="1215" spans="338:342">
      <c r="LZ1215" s="126">
        <v>8801</v>
      </c>
      <c r="MA1215" s="131" t="s">
        <v>1159</v>
      </c>
      <c r="MB1215" s="131" t="s">
        <v>1304</v>
      </c>
      <c r="MC1215" s="135">
        <v>14</v>
      </c>
      <c r="MD1215" s="133"/>
    </row>
    <row r="1216" spans="338:342">
      <c r="LZ1216" s="126">
        <v>8802</v>
      </c>
      <c r="MA1216" s="131" t="s">
        <v>1159</v>
      </c>
      <c r="MB1216" s="131" t="s">
        <v>1304</v>
      </c>
      <c r="MC1216" s="135">
        <v>20</v>
      </c>
      <c r="MD1216" s="133"/>
    </row>
    <row r="1217" spans="338:342">
      <c r="LZ1217" s="126">
        <v>8803</v>
      </c>
      <c r="MA1217" s="131" t="s">
        <v>1159</v>
      </c>
      <c r="MB1217" s="131" t="s">
        <v>1304</v>
      </c>
      <c r="MC1217" s="135">
        <v>22</v>
      </c>
      <c r="MD1217" s="133"/>
    </row>
    <row r="1218" spans="338:342">
      <c r="LZ1218" s="126">
        <v>8804</v>
      </c>
      <c r="MA1218" s="131" t="s">
        <v>1159</v>
      </c>
      <c r="MB1218" s="131" t="s">
        <v>1304</v>
      </c>
      <c r="MC1218" s="135">
        <v>25</v>
      </c>
      <c r="MD1218" s="133"/>
    </row>
    <row r="1219" spans="338:342">
      <c r="LZ1219" s="126">
        <v>8805</v>
      </c>
      <c r="MA1219" s="131" t="s">
        <v>1159</v>
      </c>
      <c r="MB1219" s="131" t="s">
        <v>1304</v>
      </c>
      <c r="MC1219" s="135">
        <v>30</v>
      </c>
      <c r="MD1219" s="133"/>
    </row>
    <row r="1220" spans="338:342">
      <c r="LZ1220" s="126">
        <v>8790</v>
      </c>
      <c r="MA1220" s="131" t="s">
        <v>1159</v>
      </c>
      <c r="MB1220" s="131" t="s">
        <v>1305</v>
      </c>
      <c r="MC1220" s="135">
        <v>32</v>
      </c>
      <c r="MD1220" s="133"/>
    </row>
    <row r="1221" spans="338:342">
      <c r="LZ1221" s="126">
        <v>8791</v>
      </c>
      <c r="MA1221" s="131" t="s">
        <v>1159</v>
      </c>
      <c r="MB1221" s="131" t="s">
        <v>1305</v>
      </c>
      <c r="MC1221" s="135">
        <v>45</v>
      </c>
      <c r="MD1221" s="133"/>
    </row>
    <row r="1222" spans="338:342">
      <c r="LZ1222" s="126">
        <v>8792</v>
      </c>
      <c r="MA1222" s="131" t="s">
        <v>1159</v>
      </c>
      <c r="MB1222" s="131" t="s">
        <v>1305</v>
      </c>
      <c r="MC1222" s="132">
        <v>55</v>
      </c>
      <c r="MD1222" s="133"/>
    </row>
    <row r="1223" spans="338:342" ht="40.799999999999997">
      <c r="LZ1223" s="126">
        <v>8780</v>
      </c>
      <c r="MA1223" s="131" t="s">
        <v>1159</v>
      </c>
      <c r="MB1223" s="131" t="s">
        <v>1306</v>
      </c>
      <c r="MC1223" s="132">
        <v>31</v>
      </c>
      <c r="MD1223" s="133" t="s">
        <v>1307</v>
      </c>
    </row>
    <row r="1224" spans="338:342" ht="40.799999999999997">
      <c r="LZ1224" s="126">
        <v>8781</v>
      </c>
      <c r="MA1224" s="131" t="s">
        <v>1159</v>
      </c>
      <c r="MB1224" s="131" t="s">
        <v>1306</v>
      </c>
      <c r="MC1224" s="132">
        <v>42</v>
      </c>
      <c r="MD1224" s="133" t="s">
        <v>1307</v>
      </c>
    </row>
    <row r="1225" spans="338:342">
      <c r="LZ1225" s="126">
        <v>8620</v>
      </c>
      <c r="MA1225" s="131" t="s">
        <v>1159</v>
      </c>
      <c r="MB1225" s="131" t="s">
        <v>1308</v>
      </c>
      <c r="MC1225" s="132">
        <v>85</v>
      </c>
      <c r="MD1225" s="133"/>
    </row>
    <row r="1226" spans="338:342">
      <c r="LZ1226" s="126">
        <v>8621</v>
      </c>
      <c r="MA1226" s="131" t="s">
        <v>1159</v>
      </c>
      <c r="MB1226" s="131" t="s">
        <v>1308</v>
      </c>
      <c r="MC1226" s="132">
        <v>120</v>
      </c>
      <c r="MD1226" s="133"/>
    </row>
    <row r="1227" spans="338:342">
      <c r="LZ1227" s="126">
        <v>8622</v>
      </c>
      <c r="MA1227" s="131" t="s">
        <v>1159</v>
      </c>
      <c r="MB1227" s="131" t="s">
        <v>1308</v>
      </c>
      <c r="MC1227" s="132">
        <v>150</v>
      </c>
      <c r="MD1227" s="133"/>
    </row>
    <row r="1228" spans="338:342">
      <c r="LZ1228" s="126">
        <v>8623</v>
      </c>
      <c r="MA1228" s="131" t="s">
        <v>1159</v>
      </c>
      <c r="MB1228" s="131" t="s">
        <v>1308</v>
      </c>
      <c r="MC1228" s="132">
        <v>270</v>
      </c>
      <c r="MD1228" s="133"/>
    </row>
    <row r="1229" spans="338:342">
      <c r="LZ1229" s="126">
        <v>8753</v>
      </c>
      <c r="MA1229" s="131" t="s">
        <v>1159</v>
      </c>
      <c r="MB1229" s="131" t="s">
        <v>1309</v>
      </c>
      <c r="MC1229" s="132">
        <v>3</v>
      </c>
      <c r="MD1229" s="133"/>
    </row>
    <row r="1230" spans="338:342">
      <c r="LZ1230" s="126">
        <v>8750</v>
      </c>
      <c r="MA1230" s="131" t="s">
        <v>1159</v>
      </c>
      <c r="MB1230" s="131" t="s">
        <v>1310</v>
      </c>
      <c r="MC1230" s="132">
        <v>7</v>
      </c>
      <c r="MD1230" s="133"/>
    </row>
    <row r="1231" spans="338:342">
      <c r="LZ1231" s="126">
        <v>8761</v>
      </c>
      <c r="MA1231" s="131" t="s">
        <v>1159</v>
      </c>
      <c r="MB1231" s="131" t="s">
        <v>1311</v>
      </c>
      <c r="MC1231" s="132">
        <v>1.1499999999999999</v>
      </c>
      <c r="MD1231" s="133"/>
    </row>
    <row r="1232" spans="338:342" ht="40.799999999999997">
      <c r="LZ1232" s="126">
        <v>8770</v>
      </c>
      <c r="MA1232" s="131" t="s">
        <v>1159</v>
      </c>
      <c r="MB1232" s="131" t="s">
        <v>1312</v>
      </c>
      <c r="MC1232" s="132">
        <v>5</v>
      </c>
      <c r="MD1232" s="133" t="s">
        <v>1313</v>
      </c>
    </row>
    <row r="1233" spans="338:342" ht="40.799999999999997">
      <c r="LZ1233" s="126">
        <v>8771</v>
      </c>
      <c r="MA1233" s="131" t="s">
        <v>1159</v>
      </c>
      <c r="MB1233" s="131" t="s">
        <v>1312</v>
      </c>
      <c r="MC1233" s="132">
        <v>11.5</v>
      </c>
      <c r="MD1233" s="133" t="s">
        <v>1313</v>
      </c>
    </row>
    <row r="1234" spans="338:342" ht="40.799999999999997">
      <c r="LZ1234" s="136">
        <v>8772</v>
      </c>
      <c r="MA1234" s="137" t="s">
        <v>1159</v>
      </c>
      <c r="MB1234" s="137" t="s">
        <v>1312</v>
      </c>
      <c r="MC1234" s="138">
        <v>16</v>
      </c>
      <c r="MD1234" s="133" t="s">
        <v>1313</v>
      </c>
    </row>
    <row r="1235" spans="338:342" ht="40.799999999999997">
      <c r="LZ1235" s="139">
        <v>8773</v>
      </c>
      <c r="MA1235" s="139" t="s">
        <v>1314</v>
      </c>
      <c r="MB1235" s="139" t="s">
        <v>1315</v>
      </c>
      <c r="MC1235" s="140">
        <v>22</v>
      </c>
      <c r="MD1235" s="133" t="s">
        <v>1316</v>
      </c>
    </row>
  </sheetData>
  <sheetProtection sheet="1" objects="1" scenarios="1"/>
  <mergeCells count="2">
    <mergeCell ref="F1:G1"/>
    <mergeCell ref="E85:F85"/>
  </mergeCells>
  <pageMargins left="0.25" right="0.25" top="0.56999999999999995" bottom="0.5" header="0.2" footer="0.24"/>
  <pageSetup scale="64" orientation="portrait" r:id="rId1"/>
  <headerFooter>
    <oddHeader>&amp;C&amp;"Times New Roman,Bold"&amp;18FEMA Cost Code Estimate
&amp;R&amp;D</oddHeader>
    <oddFooter>&amp;R&amp;P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L67"/>
  <sheetViews>
    <sheetView zoomScaleNormal="100" workbookViewId="0">
      <selection activeCell="J22" sqref="J22"/>
    </sheetView>
  </sheetViews>
  <sheetFormatPr defaultColWidth="8.88671875" defaultRowHeight="10.199999999999999"/>
  <cols>
    <col min="1" max="1" width="2.6640625" style="1" customWidth="1"/>
    <col min="2" max="2" width="12.109375" style="1" customWidth="1"/>
    <col min="3" max="3" width="8.5546875" style="1" customWidth="1"/>
    <col min="4" max="4" width="9.88671875" style="1" customWidth="1"/>
    <col min="5" max="5" width="9.33203125" style="1" customWidth="1"/>
    <col min="6" max="6" width="11.5546875" style="1" customWidth="1"/>
    <col min="7" max="7" width="8.109375" style="1" customWidth="1"/>
    <col min="8" max="8" width="12" style="1" customWidth="1"/>
    <col min="9" max="9" width="8.109375" style="1" customWidth="1"/>
    <col min="10" max="10" width="18.33203125" style="1" customWidth="1"/>
    <col min="11" max="16384" width="8.88671875" style="1"/>
  </cols>
  <sheetData>
    <row r="1" spans="1:11" ht="12.6" customHeight="1">
      <c r="A1" s="300" t="s">
        <v>88</v>
      </c>
      <c r="B1" s="300"/>
      <c r="C1" s="300"/>
      <c r="D1" s="300"/>
      <c r="E1" s="300"/>
      <c r="F1" s="300"/>
      <c r="G1" s="300"/>
      <c r="H1" s="300"/>
      <c r="I1" s="300"/>
      <c r="J1" s="300"/>
    </row>
    <row r="2" spans="1:11" ht="12.6" customHeight="1">
      <c r="A2" s="300" t="s">
        <v>89</v>
      </c>
      <c r="B2" s="300"/>
      <c r="C2" s="300"/>
      <c r="D2" s="300"/>
      <c r="E2" s="300"/>
      <c r="F2" s="300"/>
      <c r="G2" s="300"/>
      <c r="H2" s="300"/>
      <c r="I2" s="300"/>
      <c r="J2" s="300"/>
    </row>
    <row r="3" spans="1:11" ht="12.6" customHeight="1">
      <c r="A3" s="300" t="s">
        <v>86</v>
      </c>
      <c r="B3" s="300"/>
      <c r="C3" s="300"/>
      <c r="D3" s="300"/>
      <c r="E3" s="300"/>
      <c r="F3" s="300"/>
      <c r="G3" s="300"/>
      <c r="H3" s="300"/>
      <c r="I3" s="300"/>
      <c r="J3" s="300"/>
    </row>
    <row r="4" spans="1:11" ht="2.25" customHeight="1" thickBot="1">
      <c r="A4" s="78"/>
      <c r="B4" s="78"/>
      <c r="C4" s="78"/>
      <c r="D4" s="78"/>
      <c r="E4" s="78"/>
      <c r="F4" s="78"/>
      <c r="G4" s="78"/>
      <c r="H4" s="78"/>
      <c r="I4" s="78"/>
      <c r="J4" s="78"/>
    </row>
    <row r="5" spans="1:11" ht="12.6" customHeight="1" thickBot="1">
      <c r="A5" s="288" t="s">
        <v>26</v>
      </c>
      <c r="B5" s="315"/>
      <c r="C5" s="315"/>
      <c r="D5" s="315"/>
      <c r="E5" s="315"/>
      <c r="F5" s="315"/>
      <c r="G5" s="315"/>
      <c r="H5" s="315"/>
      <c r="I5" s="315"/>
      <c r="J5" s="316"/>
    </row>
    <row r="6" spans="1:11" ht="16.2" customHeight="1">
      <c r="A6" s="359" t="s">
        <v>27</v>
      </c>
      <c r="B6" s="352"/>
      <c r="C6" s="353"/>
      <c r="D6" s="325" t="s">
        <v>101</v>
      </c>
      <c r="E6" s="326"/>
      <c r="F6" s="327"/>
      <c r="G6" s="325" t="s">
        <v>48</v>
      </c>
      <c r="H6" s="352"/>
      <c r="I6" s="353"/>
      <c r="J6" s="69" t="s">
        <v>83</v>
      </c>
      <c r="K6" s="72"/>
    </row>
    <row r="7" spans="1:11" ht="16.2" customHeight="1">
      <c r="A7" s="360" t="s">
        <v>2871</v>
      </c>
      <c r="B7" s="355"/>
      <c r="C7" s="356"/>
      <c r="D7" s="328" t="s">
        <v>126</v>
      </c>
      <c r="E7" s="329"/>
      <c r="F7" s="329"/>
      <c r="G7" s="354" t="s">
        <v>127</v>
      </c>
      <c r="H7" s="355"/>
      <c r="I7" s="356"/>
      <c r="J7" s="73" t="s">
        <v>131</v>
      </c>
      <c r="K7" s="72"/>
    </row>
    <row r="8" spans="1:11" ht="16.2" customHeight="1">
      <c r="A8" s="357" t="s">
        <v>0</v>
      </c>
      <c r="B8" s="358"/>
      <c r="C8" s="330" t="s">
        <v>57</v>
      </c>
      <c r="D8" s="331"/>
      <c r="E8" s="332" t="s">
        <v>102</v>
      </c>
      <c r="F8" s="333"/>
      <c r="G8" s="361" t="s">
        <v>122</v>
      </c>
      <c r="H8" s="362"/>
      <c r="I8" s="93"/>
      <c r="J8" s="74" t="s">
        <v>24</v>
      </c>
      <c r="K8" s="72"/>
    </row>
    <row r="9" spans="1:11" ht="17.399999999999999" customHeight="1" thickBot="1">
      <c r="A9" s="319"/>
      <c r="B9" s="320"/>
      <c r="C9" s="334"/>
      <c r="D9" s="335"/>
      <c r="E9" s="336"/>
      <c r="F9" s="337"/>
      <c r="G9" s="349" t="s">
        <v>123</v>
      </c>
      <c r="H9" s="350"/>
      <c r="I9" s="94"/>
      <c r="J9" s="75"/>
    </row>
    <row r="10" spans="1:11" ht="12.6" thickBot="1">
      <c r="A10" s="338" t="s">
        <v>87</v>
      </c>
      <c r="B10" s="339"/>
      <c r="C10" s="339"/>
      <c r="D10" s="339"/>
      <c r="E10" s="339"/>
      <c r="F10" s="339"/>
      <c r="G10" s="339"/>
      <c r="H10" s="339"/>
      <c r="I10" s="339"/>
      <c r="J10" s="340"/>
    </row>
    <row r="11" spans="1:11" ht="12.6" customHeight="1">
      <c r="A11" s="309" t="s">
        <v>1</v>
      </c>
      <c r="B11" s="310"/>
      <c r="C11" s="321" t="s">
        <v>15</v>
      </c>
      <c r="D11" s="322"/>
      <c r="E11" s="317" t="s">
        <v>12</v>
      </c>
      <c r="F11" s="318"/>
      <c r="G11" s="341" t="s">
        <v>13</v>
      </c>
      <c r="H11" s="342"/>
      <c r="I11" s="313" t="s">
        <v>14</v>
      </c>
      <c r="J11" s="314"/>
    </row>
    <row r="12" spans="1:11" ht="12.6" customHeight="1" thickBot="1">
      <c r="A12" s="311"/>
      <c r="B12" s="312"/>
      <c r="C12" s="323"/>
      <c r="D12" s="324"/>
      <c r="E12" s="28" t="s">
        <v>10</v>
      </c>
      <c r="F12" s="238" t="s">
        <v>16</v>
      </c>
      <c r="G12" s="28" t="s">
        <v>10</v>
      </c>
      <c r="H12" s="29" t="s">
        <v>16</v>
      </c>
      <c r="I12" s="30" t="s">
        <v>10</v>
      </c>
      <c r="J12" s="31" t="s">
        <v>11</v>
      </c>
    </row>
    <row r="13" spans="1:11" ht="13.35" customHeight="1" thickTop="1" thickBot="1">
      <c r="A13" s="87" t="s">
        <v>2</v>
      </c>
      <c r="B13" s="11" t="s">
        <v>9</v>
      </c>
      <c r="C13" s="53"/>
      <c r="D13" s="58"/>
      <c r="E13" s="89">
        <v>1</v>
      </c>
      <c r="F13" s="259">
        <f>'Valley Mills'!K20</f>
        <v>3080</v>
      </c>
      <c r="G13" s="239"/>
      <c r="H13" s="259"/>
      <c r="I13" s="97">
        <f>E13+G13</f>
        <v>1</v>
      </c>
      <c r="J13" s="247">
        <f>F13+H13</f>
        <v>3080</v>
      </c>
    </row>
    <row r="14" spans="1:11" ht="13.35" customHeight="1" thickTop="1">
      <c r="A14" s="88" t="s">
        <v>3</v>
      </c>
      <c r="B14" s="80" t="s">
        <v>50</v>
      </c>
      <c r="C14" s="81"/>
      <c r="D14" s="82"/>
      <c r="E14" s="90"/>
      <c r="F14" s="260"/>
      <c r="G14" s="240"/>
      <c r="H14" s="260"/>
      <c r="I14" s="98">
        <f>E14+G14</f>
        <v>0</v>
      </c>
      <c r="J14" s="247">
        <f>F14+H14</f>
        <v>0</v>
      </c>
    </row>
    <row r="15" spans="1:11" ht="13.8" thickBot="1">
      <c r="A15" s="85"/>
      <c r="B15" s="281" t="s">
        <v>113</v>
      </c>
      <c r="C15" s="351"/>
      <c r="D15" s="351"/>
      <c r="E15" s="273"/>
      <c r="F15" s="274"/>
      <c r="G15" s="273"/>
      <c r="H15" s="274"/>
      <c r="I15" s="275"/>
      <c r="J15" s="276">
        <f>J13+J14</f>
        <v>3080</v>
      </c>
    </row>
    <row r="16" spans="1:11" ht="2.25" customHeight="1" thickTop="1" thickBot="1">
      <c r="A16" s="83"/>
      <c r="B16" s="84"/>
      <c r="C16" s="84"/>
      <c r="D16" s="84"/>
      <c r="E16" s="84"/>
      <c r="F16" s="270"/>
      <c r="G16" s="271"/>
      <c r="H16" s="270"/>
      <c r="I16" s="269"/>
      <c r="J16" s="272"/>
    </row>
    <row r="17" spans="1:10" ht="13.35" customHeight="1" thickTop="1" thickBot="1">
      <c r="A17" s="304" t="s">
        <v>4</v>
      </c>
      <c r="B17" s="302" t="s">
        <v>118</v>
      </c>
      <c r="C17" s="65" t="s">
        <v>51</v>
      </c>
      <c r="D17" s="66"/>
      <c r="E17" s="67"/>
      <c r="F17" s="261"/>
      <c r="G17" s="67"/>
      <c r="H17" s="261"/>
      <c r="I17" s="97">
        <f t="shared" ref="I17:I19" si="0">E17+G17</f>
        <v>0</v>
      </c>
      <c r="J17" s="247"/>
    </row>
    <row r="18" spans="1:10" ht="13.35" customHeight="1" thickTop="1" thickBot="1">
      <c r="A18" s="305"/>
      <c r="B18" s="302"/>
      <c r="C18" s="9" t="s">
        <v>52</v>
      </c>
      <c r="D18" s="59"/>
      <c r="E18" s="6">
        <v>9</v>
      </c>
      <c r="F18" s="262">
        <f>'Bosque Co'!K20+'Bosque Co'!K30+'Bosque Co'!K40+'Bosque Co'!K50+'Bosque Co (2)'!K20+Clifton!K20+Clifton!K30+Clifton!K40+Clifton!K50</f>
        <v>165925</v>
      </c>
      <c r="G18" s="242">
        <v>4</v>
      </c>
      <c r="H18" s="262">
        <f>9000+500+1200+10500</f>
        <v>21200</v>
      </c>
      <c r="I18" s="97">
        <f t="shared" si="0"/>
        <v>13</v>
      </c>
      <c r="J18" s="247">
        <f>F18+H18</f>
        <v>187125</v>
      </c>
    </row>
    <row r="19" spans="1:10" ht="13.35" customHeight="1" thickTop="1">
      <c r="A19" s="306"/>
      <c r="B19" s="303"/>
      <c r="C19" s="10" t="s">
        <v>53</v>
      </c>
      <c r="D19" s="60"/>
      <c r="E19" s="7"/>
      <c r="F19" s="263"/>
      <c r="G19" s="243"/>
      <c r="H19" s="263"/>
      <c r="I19" s="97">
        <f t="shared" si="0"/>
        <v>0</v>
      </c>
      <c r="J19" s="247">
        <f>F19+H19</f>
        <v>0</v>
      </c>
    </row>
    <row r="20" spans="1:10" ht="12.45" customHeight="1">
      <c r="A20" s="12"/>
      <c r="B20" s="281" t="s">
        <v>58</v>
      </c>
      <c r="C20" s="282"/>
      <c r="D20" s="283"/>
      <c r="E20" s="95"/>
      <c r="F20" s="254"/>
      <c r="G20" s="95"/>
      <c r="H20" s="254"/>
      <c r="I20" s="95"/>
      <c r="J20" s="248">
        <f>J17+J18+J19</f>
        <v>187125</v>
      </c>
    </row>
    <row r="21" spans="1:10" ht="2.25" customHeight="1" thickBot="1">
      <c r="A21" s="14"/>
      <c r="B21" s="4"/>
      <c r="C21" s="4"/>
      <c r="D21" s="3"/>
      <c r="E21" s="3"/>
      <c r="F21" s="255"/>
      <c r="G21" s="241"/>
      <c r="H21" s="255"/>
      <c r="I21" s="269"/>
      <c r="J21" s="249"/>
    </row>
    <row r="22" spans="1:10" ht="13.35" customHeight="1" thickTop="1" thickBot="1">
      <c r="A22" s="292" t="s">
        <v>5</v>
      </c>
      <c r="B22" s="301" t="s">
        <v>117</v>
      </c>
      <c r="C22" s="20" t="s">
        <v>63</v>
      </c>
      <c r="D22" s="61"/>
      <c r="E22" s="8">
        <v>1</v>
      </c>
      <c r="F22" s="264">
        <f>'Clifton(2)'!K20</f>
        <v>22500</v>
      </c>
      <c r="G22" s="8"/>
      <c r="H22" s="264"/>
      <c r="I22" s="97">
        <f t="shared" ref="I22:I24" si="1">E22+G22</f>
        <v>1</v>
      </c>
      <c r="J22" s="247">
        <f>F22+H22</f>
        <v>22500</v>
      </c>
    </row>
    <row r="23" spans="1:10" ht="13.35" customHeight="1" thickTop="1" thickBot="1">
      <c r="A23" s="307"/>
      <c r="B23" s="347"/>
      <c r="C23" s="21" t="s">
        <v>49</v>
      </c>
      <c r="D23" s="62"/>
      <c r="E23" s="6"/>
      <c r="F23" s="262"/>
      <c r="G23" s="242"/>
      <c r="H23" s="262"/>
      <c r="I23" s="97">
        <f t="shared" si="1"/>
        <v>0</v>
      </c>
      <c r="J23" s="247">
        <f>F23+H23</f>
        <v>0</v>
      </c>
    </row>
    <row r="24" spans="1:10" ht="13.35" customHeight="1" thickTop="1">
      <c r="A24" s="308"/>
      <c r="B24" s="348"/>
      <c r="C24" s="22" t="s">
        <v>54</v>
      </c>
      <c r="D24" s="63"/>
      <c r="E24" s="7"/>
      <c r="F24" s="263"/>
      <c r="G24" s="243"/>
      <c r="H24" s="263"/>
      <c r="I24" s="97">
        <f t="shared" si="1"/>
        <v>0</v>
      </c>
      <c r="J24" s="247"/>
    </row>
    <row r="25" spans="1:10" ht="12.45" customHeight="1">
      <c r="A25" s="12"/>
      <c r="B25" s="281" t="s">
        <v>59</v>
      </c>
      <c r="C25" s="282"/>
      <c r="D25" s="283"/>
      <c r="E25" s="95"/>
      <c r="F25" s="254"/>
      <c r="G25" s="95"/>
      <c r="H25" s="254"/>
      <c r="I25" s="95"/>
      <c r="J25" s="248">
        <f>J22+J23+J24</f>
        <v>22500</v>
      </c>
    </row>
    <row r="26" spans="1:10" ht="2.25" customHeight="1" thickBot="1">
      <c r="A26" s="14"/>
      <c r="B26" s="4"/>
      <c r="C26" s="4"/>
      <c r="D26" s="3"/>
      <c r="E26" s="3"/>
      <c r="F26" s="255"/>
      <c r="G26" s="241"/>
      <c r="H26" s="255"/>
      <c r="I26" s="269"/>
      <c r="J26" s="249"/>
    </row>
    <row r="27" spans="1:10" ht="13.35" customHeight="1" thickTop="1" thickBot="1">
      <c r="A27" s="343" t="s">
        <v>6</v>
      </c>
      <c r="B27" s="301" t="s">
        <v>116</v>
      </c>
      <c r="C27" s="56"/>
      <c r="D27" s="61"/>
      <c r="E27" s="8"/>
      <c r="F27" s="264"/>
      <c r="G27" s="8"/>
      <c r="H27" s="264"/>
      <c r="I27" s="97">
        <f t="shared" ref="I27:I29" si="2">E27+G27</f>
        <v>0</v>
      </c>
      <c r="J27" s="247"/>
    </row>
    <row r="28" spans="1:10" ht="13.35" customHeight="1" thickTop="1" thickBot="1">
      <c r="A28" s="305"/>
      <c r="B28" s="302"/>
      <c r="C28" s="54"/>
      <c r="D28" s="62" t="s">
        <v>2870</v>
      </c>
      <c r="E28" s="6"/>
      <c r="F28" s="262"/>
      <c r="G28" s="242"/>
      <c r="H28" s="262"/>
      <c r="I28" s="97">
        <f t="shared" si="2"/>
        <v>0</v>
      </c>
      <c r="J28" s="247">
        <f>F28+H28</f>
        <v>0</v>
      </c>
    </row>
    <row r="29" spans="1:10" ht="13.35" customHeight="1" thickTop="1">
      <c r="A29" s="306"/>
      <c r="B29" s="303"/>
      <c r="C29" s="55"/>
      <c r="D29" s="63"/>
      <c r="E29" s="7"/>
      <c r="F29" s="263"/>
      <c r="G29" s="243"/>
      <c r="H29" s="263"/>
      <c r="I29" s="97">
        <f t="shared" si="2"/>
        <v>0</v>
      </c>
      <c r="J29" s="247">
        <f>F29+H29</f>
        <v>0</v>
      </c>
    </row>
    <row r="30" spans="1:10" ht="12.45" customHeight="1">
      <c r="A30" s="12"/>
      <c r="B30" s="281" t="s">
        <v>60</v>
      </c>
      <c r="C30" s="282"/>
      <c r="D30" s="283"/>
      <c r="E30" s="95"/>
      <c r="F30" s="254"/>
      <c r="G30" s="95"/>
      <c r="H30" s="254"/>
      <c r="I30" s="95"/>
      <c r="J30" s="248">
        <f>J27+J28+J29</f>
        <v>0</v>
      </c>
    </row>
    <row r="31" spans="1:10" ht="2.25" customHeight="1" thickBot="1">
      <c r="A31" s="14"/>
      <c r="B31" s="4"/>
      <c r="C31" s="4"/>
      <c r="D31" s="4"/>
      <c r="E31" s="3"/>
      <c r="F31" s="255"/>
      <c r="G31" s="241"/>
      <c r="H31" s="255"/>
      <c r="I31" s="269"/>
      <c r="J31" s="249"/>
    </row>
    <row r="32" spans="1:10" ht="13.35" customHeight="1" thickTop="1" thickBot="1">
      <c r="A32" s="343" t="s">
        <v>7</v>
      </c>
      <c r="B32" s="344" t="s">
        <v>115</v>
      </c>
      <c r="C32" s="23" t="s">
        <v>55</v>
      </c>
      <c r="D32" s="64"/>
      <c r="E32" s="8"/>
      <c r="F32" s="264"/>
      <c r="G32" s="8"/>
      <c r="H32" s="264"/>
      <c r="I32" s="97">
        <f t="shared" ref="I32:I34" si="3">E32+G32</f>
        <v>0</v>
      </c>
      <c r="J32" s="247">
        <f>F32+H32</f>
        <v>0</v>
      </c>
    </row>
    <row r="33" spans="1:12" ht="13.35" customHeight="1" thickTop="1" thickBot="1">
      <c r="A33" s="304"/>
      <c r="B33" s="345"/>
      <c r="C33" s="9" t="s">
        <v>128</v>
      </c>
      <c r="D33" s="66"/>
      <c r="E33" s="67"/>
      <c r="F33" s="261"/>
      <c r="G33" s="67"/>
      <c r="H33" s="261"/>
      <c r="I33" s="97">
        <f t="shared" si="3"/>
        <v>0</v>
      </c>
      <c r="J33" s="247">
        <f>F33+H33</f>
        <v>0</v>
      </c>
    </row>
    <row r="34" spans="1:12" ht="13.35" customHeight="1" thickTop="1">
      <c r="A34" s="306"/>
      <c r="B34" s="346"/>
      <c r="C34" s="10" t="s">
        <v>56</v>
      </c>
      <c r="D34" s="79"/>
      <c r="E34" s="7"/>
      <c r="F34" s="263"/>
      <c r="G34" s="243"/>
      <c r="H34" s="263"/>
      <c r="I34" s="97">
        <f t="shared" si="3"/>
        <v>0</v>
      </c>
      <c r="J34" s="247">
        <f>F34+H34</f>
        <v>0</v>
      </c>
    </row>
    <row r="35" spans="1:12" ht="12.45" customHeight="1">
      <c r="A35" s="12"/>
      <c r="B35" s="281" t="s">
        <v>61</v>
      </c>
      <c r="C35" s="282"/>
      <c r="D35" s="283"/>
      <c r="E35" s="95"/>
      <c r="F35" s="254"/>
      <c r="G35" s="95"/>
      <c r="H35" s="254"/>
      <c r="I35" s="95"/>
      <c r="J35" s="248">
        <f>J32+J33+J34</f>
        <v>0</v>
      </c>
    </row>
    <row r="36" spans="1:12" ht="2.25" customHeight="1" thickBot="1">
      <c r="A36" s="14"/>
      <c r="B36" s="3"/>
      <c r="C36" s="3"/>
      <c r="D36" s="4"/>
      <c r="E36" s="3"/>
      <c r="F36" s="255"/>
      <c r="G36" s="241"/>
      <c r="H36" s="255"/>
      <c r="I36" s="269"/>
      <c r="J36" s="249"/>
    </row>
    <row r="37" spans="1:12" ht="12.75" customHeight="1" thickTop="1" thickBot="1">
      <c r="A37" s="291" t="s">
        <v>8</v>
      </c>
      <c r="B37" s="294" t="s">
        <v>114</v>
      </c>
      <c r="C37" s="23" t="s">
        <v>129</v>
      </c>
      <c r="D37" s="27"/>
      <c r="E37" s="91"/>
      <c r="F37" s="264"/>
      <c r="G37" s="8"/>
      <c r="H37" s="264"/>
      <c r="I37" s="267">
        <f t="shared" ref="I37:I39" si="4">E37+G37</f>
        <v>0</v>
      </c>
      <c r="J37" s="247">
        <f>F37+H37</f>
        <v>0</v>
      </c>
    </row>
    <row r="38" spans="1:12" ht="12.75" customHeight="1" thickTop="1" thickBot="1">
      <c r="A38" s="292"/>
      <c r="B38" s="295"/>
      <c r="C38" s="23" t="s">
        <v>130</v>
      </c>
      <c r="D38" s="68"/>
      <c r="E38" s="92"/>
      <c r="F38" s="256"/>
      <c r="G38" s="244"/>
      <c r="H38" s="256"/>
      <c r="I38" s="267">
        <f t="shared" si="4"/>
        <v>0</v>
      </c>
      <c r="J38" s="247">
        <f>F38+H38</f>
        <v>0</v>
      </c>
    </row>
    <row r="39" spans="1:12" ht="13.35" customHeight="1" thickTop="1" thickBot="1">
      <c r="A39" s="293"/>
      <c r="B39" s="296"/>
      <c r="C39" s="57"/>
      <c r="D39" s="25"/>
      <c r="E39" s="26"/>
      <c r="F39" s="257"/>
      <c r="G39" s="245"/>
      <c r="H39" s="257"/>
      <c r="I39" s="268">
        <f t="shared" si="4"/>
        <v>0</v>
      </c>
      <c r="J39" s="247"/>
    </row>
    <row r="40" spans="1:12" ht="13.35" customHeight="1">
      <c r="A40" s="12"/>
      <c r="B40" s="281" t="s">
        <v>62</v>
      </c>
      <c r="C40" s="282"/>
      <c r="D40" s="283"/>
      <c r="E40" s="96"/>
      <c r="F40" s="265"/>
      <c r="G40" s="96"/>
      <c r="H40" s="265"/>
      <c r="I40" s="96"/>
      <c r="J40" s="250">
        <f>J37+J38+J39</f>
        <v>0</v>
      </c>
    </row>
    <row r="41" spans="1:12" ht="2.25" customHeight="1">
      <c r="A41" s="18"/>
      <c r="B41" s="3"/>
      <c r="C41" s="3"/>
      <c r="D41" s="3"/>
      <c r="E41" s="2"/>
      <c r="F41" s="258"/>
      <c r="G41" s="246"/>
      <c r="H41" s="258"/>
      <c r="I41" s="246"/>
      <c r="J41" s="251"/>
    </row>
    <row r="42" spans="1:12" ht="12" customHeight="1">
      <c r="A42" s="298" t="s">
        <v>17</v>
      </c>
      <c r="B42" s="299"/>
      <c r="C42" s="299"/>
      <c r="D42" s="299"/>
      <c r="E42" s="95"/>
      <c r="F42" s="266"/>
      <c r="G42" s="95"/>
      <c r="H42" s="266"/>
      <c r="I42" s="95"/>
      <c r="J42" s="252"/>
    </row>
    <row r="43" spans="1:12" ht="2.25" customHeight="1">
      <c r="A43" s="18"/>
      <c r="B43" s="3"/>
      <c r="C43" s="3"/>
      <c r="D43" s="24"/>
      <c r="E43" s="2"/>
      <c r="F43" s="36"/>
      <c r="G43" s="2"/>
      <c r="H43" s="36"/>
      <c r="I43" s="2"/>
      <c r="J43" s="251"/>
    </row>
    <row r="44" spans="1:12" ht="14.25" customHeight="1">
      <c r="A44" s="18"/>
      <c r="B44" s="3"/>
      <c r="C44" s="3"/>
      <c r="D44" s="3"/>
      <c r="E44" s="3"/>
      <c r="F44" s="3"/>
      <c r="G44" s="3"/>
      <c r="H44" s="297" t="s">
        <v>80</v>
      </c>
      <c r="I44" s="297"/>
      <c r="J44" s="253">
        <f>J15+J20+J25+J30+J35+J40</f>
        <v>212705</v>
      </c>
    </row>
    <row r="45" spans="1:12" ht="2.25" customHeight="1" thickBot="1">
      <c r="A45" s="18"/>
      <c r="B45" s="3"/>
      <c r="C45" s="3"/>
      <c r="D45" s="3"/>
      <c r="E45" s="3"/>
      <c r="F45" s="3"/>
      <c r="G45" s="3"/>
      <c r="H45" s="37"/>
      <c r="I45" s="37"/>
      <c r="J45" s="86"/>
    </row>
    <row r="46" spans="1:12" ht="14.25" customHeight="1" thickBot="1">
      <c r="A46" s="288" t="s">
        <v>90</v>
      </c>
      <c r="B46" s="289"/>
      <c r="C46" s="289"/>
      <c r="D46" s="289"/>
      <c r="E46" s="289"/>
      <c r="F46" s="289"/>
      <c r="G46" s="289"/>
      <c r="H46" s="289"/>
      <c r="I46" s="289"/>
      <c r="J46" s="290"/>
      <c r="L46" s="1" t="s">
        <v>1321</v>
      </c>
    </row>
    <row r="47" spans="1:12" ht="14.25" customHeight="1">
      <c r="A47" s="365" t="s">
        <v>94</v>
      </c>
      <c r="B47" s="366"/>
      <c r="C47" s="366"/>
      <c r="D47" s="366"/>
      <c r="E47" s="366"/>
      <c r="F47" s="366"/>
      <c r="G47" s="366"/>
      <c r="H47" s="366"/>
      <c r="I47" s="366"/>
      <c r="J47" s="367"/>
      <c r="L47" s="1" t="s">
        <v>1320</v>
      </c>
    </row>
    <row r="48" spans="1:12" ht="13.35" customHeight="1">
      <c r="A48" s="50" t="s">
        <v>95</v>
      </c>
      <c r="B48" s="51"/>
      <c r="C48" s="51"/>
      <c r="D48" s="51"/>
      <c r="E48" s="51"/>
      <c r="F48" s="51"/>
      <c r="G48" s="51"/>
      <c r="H48" s="51"/>
      <c r="I48" s="51"/>
      <c r="J48" s="52"/>
    </row>
    <row r="49" spans="1:12" ht="11.25" customHeight="1">
      <c r="A49" s="15"/>
      <c r="B49" s="284"/>
      <c r="C49" s="285"/>
      <c r="D49" s="286"/>
      <c r="E49" s="286"/>
      <c r="F49" s="286"/>
      <c r="G49" s="286"/>
      <c r="H49" s="286"/>
      <c r="I49" s="286"/>
      <c r="J49" s="287"/>
      <c r="L49" s="1" t="s">
        <v>21</v>
      </c>
    </row>
    <row r="50" spans="1:12" ht="12.6" customHeight="1">
      <c r="A50" s="15"/>
      <c r="B50" s="286"/>
      <c r="C50" s="286"/>
      <c r="D50" s="286"/>
      <c r="E50" s="286"/>
      <c r="F50" s="286"/>
      <c r="G50" s="286"/>
      <c r="H50" s="286"/>
      <c r="I50" s="286"/>
      <c r="J50" s="287"/>
    </row>
    <row r="51" spans="1:12" ht="11.25" customHeight="1">
      <c r="A51" s="44" t="s">
        <v>132</v>
      </c>
      <c r="B51" s="45"/>
      <c r="C51" s="45"/>
      <c r="D51" s="45"/>
      <c r="E51" s="45"/>
      <c r="F51" s="45"/>
      <c r="G51" s="45"/>
      <c r="H51" s="45"/>
      <c r="I51" s="45"/>
      <c r="J51" s="46"/>
    </row>
    <row r="52" spans="1:12" ht="11.25" customHeight="1">
      <c r="A52" s="15"/>
      <c r="B52" s="284"/>
      <c r="C52" s="285"/>
      <c r="D52" s="286"/>
      <c r="E52" s="286"/>
      <c r="F52" s="286"/>
      <c r="G52" s="286"/>
      <c r="H52" s="286"/>
      <c r="I52" s="286"/>
      <c r="J52" s="287"/>
      <c r="L52" s="1" t="s">
        <v>22</v>
      </c>
    </row>
    <row r="53" spans="1:12" ht="11.25" customHeight="1">
      <c r="A53" s="15"/>
      <c r="B53" s="285"/>
      <c r="C53" s="285"/>
      <c r="D53" s="286"/>
      <c r="E53" s="286"/>
      <c r="F53" s="286"/>
      <c r="G53" s="286"/>
      <c r="H53" s="286"/>
      <c r="I53" s="286"/>
      <c r="J53" s="287"/>
    </row>
    <row r="54" spans="1:12" ht="12.6" customHeight="1">
      <c r="A54" s="15"/>
      <c r="B54" s="286"/>
      <c r="C54" s="286"/>
      <c r="D54" s="286"/>
      <c r="E54" s="286"/>
      <c r="F54" s="286"/>
      <c r="G54" s="286"/>
      <c r="H54" s="286"/>
      <c r="I54" s="286"/>
      <c r="J54" s="287"/>
    </row>
    <row r="55" spans="1:12" ht="9.15" customHeight="1">
      <c r="A55" s="44" t="s">
        <v>96</v>
      </c>
      <c r="B55" s="45"/>
      <c r="C55" s="45"/>
      <c r="D55" s="45"/>
      <c r="E55" s="45"/>
      <c r="F55" s="45"/>
      <c r="G55" s="45"/>
      <c r="H55" s="45"/>
      <c r="I55" s="45"/>
      <c r="J55" s="46"/>
    </row>
    <row r="56" spans="1:12" ht="13.35" customHeight="1">
      <c r="A56" s="15"/>
      <c r="B56" s="284"/>
      <c r="C56" s="284"/>
      <c r="D56" s="286"/>
      <c r="E56" s="286"/>
      <c r="F56" s="286"/>
      <c r="G56" s="286"/>
      <c r="H56" s="286"/>
      <c r="I56" s="286"/>
      <c r="J56" s="287"/>
      <c r="L56" s="1" t="s">
        <v>120</v>
      </c>
    </row>
    <row r="57" spans="1:12" ht="12" customHeight="1">
      <c r="A57" s="15"/>
      <c r="B57" s="286"/>
      <c r="C57" s="286"/>
      <c r="D57" s="286"/>
      <c r="E57" s="286"/>
      <c r="F57" s="286"/>
      <c r="G57" s="286"/>
      <c r="H57" s="286"/>
      <c r="I57" s="286"/>
      <c r="J57" s="287"/>
      <c r="L57" s="1" t="s">
        <v>121</v>
      </c>
    </row>
    <row r="58" spans="1:12" ht="11.4" customHeight="1" thickBot="1">
      <c r="A58" s="76" t="s">
        <v>97</v>
      </c>
      <c r="B58" s="5"/>
      <c r="C58" s="5"/>
      <c r="D58" s="5"/>
      <c r="E58" s="5"/>
      <c r="F58" s="5"/>
      <c r="G58" s="5"/>
      <c r="H58" s="5"/>
      <c r="I58" s="5"/>
      <c r="J58" s="16"/>
    </row>
    <row r="59" spans="1:12">
      <c r="A59" s="41" t="s">
        <v>99</v>
      </c>
      <c r="B59" s="42"/>
      <c r="C59" s="42"/>
      <c r="D59" s="42"/>
      <c r="E59" s="42"/>
      <c r="F59" s="42"/>
      <c r="G59" s="42"/>
      <c r="H59" s="42"/>
      <c r="I59" s="42"/>
      <c r="J59" s="43"/>
    </row>
    <row r="60" spans="1:12">
      <c r="A60" s="15"/>
      <c r="B60" s="284"/>
      <c r="C60" s="284"/>
      <c r="D60" s="368"/>
      <c r="E60" s="368"/>
      <c r="F60" s="368"/>
      <c r="G60" s="368"/>
      <c r="H60" s="368"/>
      <c r="I60" s="368"/>
      <c r="J60" s="369"/>
      <c r="L60" s="1" t="s">
        <v>19</v>
      </c>
    </row>
    <row r="61" spans="1:12" ht="11.25" customHeight="1" thickBot="1">
      <c r="A61" s="17"/>
      <c r="B61" s="370"/>
      <c r="C61" s="370"/>
      <c r="D61" s="370"/>
      <c r="E61" s="370"/>
      <c r="F61" s="370"/>
      <c r="G61" s="370"/>
      <c r="H61" s="370"/>
      <c r="I61" s="370"/>
      <c r="J61" s="371"/>
    </row>
    <row r="62" spans="1:12" ht="11.4" customHeight="1" thickBot="1">
      <c r="A62" s="77" t="s">
        <v>98</v>
      </c>
      <c r="B62" s="3"/>
      <c r="C62" s="3"/>
      <c r="D62" s="3"/>
      <c r="E62" s="3"/>
      <c r="F62" s="3"/>
      <c r="G62" s="3"/>
      <c r="H62" s="3"/>
      <c r="I62" s="3"/>
      <c r="J62" s="13"/>
    </row>
    <row r="63" spans="1:12">
      <c r="A63" s="47" t="s">
        <v>100</v>
      </c>
      <c r="B63" s="48"/>
      <c r="C63" s="48"/>
      <c r="D63" s="48"/>
      <c r="E63" s="48"/>
      <c r="F63" s="48"/>
      <c r="G63" s="48"/>
      <c r="H63" s="48"/>
      <c r="I63" s="48"/>
      <c r="J63" s="49"/>
    </row>
    <row r="64" spans="1:12">
      <c r="A64" s="18"/>
      <c r="B64" s="376"/>
      <c r="C64" s="376"/>
      <c r="D64" s="377"/>
      <c r="E64" s="377"/>
      <c r="F64" s="377"/>
      <c r="G64" s="377"/>
      <c r="H64" s="377"/>
      <c r="I64" s="377"/>
      <c r="J64" s="378"/>
      <c r="L64" s="1" t="s">
        <v>20</v>
      </c>
    </row>
    <row r="65" spans="1:10" ht="10.5" customHeight="1" thickBot="1">
      <c r="A65" s="19"/>
      <c r="B65" s="379"/>
      <c r="C65" s="379"/>
      <c r="D65" s="379"/>
      <c r="E65" s="379"/>
      <c r="F65" s="379"/>
      <c r="G65" s="379"/>
      <c r="H65" s="379"/>
      <c r="I65" s="379"/>
      <c r="J65" s="380"/>
    </row>
    <row r="66" spans="1:10" ht="13.2">
      <c r="A66" s="381" t="s">
        <v>92</v>
      </c>
      <c r="B66" s="382"/>
      <c r="C66" s="382"/>
      <c r="D66" s="383"/>
      <c r="E66" s="372" t="s">
        <v>91</v>
      </c>
      <c r="F66" s="373"/>
      <c r="G66" s="372" t="s">
        <v>45</v>
      </c>
      <c r="H66" s="373"/>
      <c r="I66" s="372" t="s">
        <v>93</v>
      </c>
      <c r="J66" s="375"/>
    </row>
    <row r="67" spans="1:10" ht="12" customHeight="1" thickBot="1">
      <c r="A67" s="384"/>
      <c r="B67" s="385"/>
      <c r="C67" s="385"/>
      <c r="D67" s="386"/>
      <c r="E67" s="363" t="s">
        <v>2857</v>
      </c>
      <c r="F67" s="374"/>
      <c r="G67" s="363" t="s">
        <v>2856</v>
      </c>
      <c r="H67" s="374"/>
      <c r="I67" s="363" t="s">
        <v>2855</v>
      </c>
      <c r="J67" s="364"/>
    </row>
  </sheetData>
  <mergeCells count="57">
    <mergeCell ref="I67:J67"/>
    <mergeCell ref="A47:J47"/>
    <mergeCell ref="B60:J61"/>
    <mergeCell ref="G66:H66"/>
    <mergeCell ref="G67:H67"/>
    <mergeCell ref="I66:J66"/>
    <mergeCell ref="B64:J65"/>
    <mergeCell ref="A66:D66"/>
    <mergeCell ref="A67:D67"/>
    <mergeCell ref="E67:F67"/>
    <mergeCell ref="B56:J57"/>
    <mergeCell ref="E66:F66"/>
    <mergeCell ref="A3:J3"/>
    <mergeCell ref="G6:I6"/>
    <mergeCell ref="G7:I7"/>
    <mergeCell ref="A8:B8"/>
    <mergeCell ref="A6:C6"/>
    <mergeCell ref="A7:C7"/>
    <mergeCell ref="G8:H8"/>
    <mergeCell ref="E9:F9"/>
    <mergeCell ref="A10:J10"/>
    <mergeCell ref="G11:H11"/>
    <mergeCell ref="A32:A34"/>
    <mergeCell ref="B32:B34"/>
    <mergeCell ref="B22:B24"/>
    <mergeCell ref="B25:D25"/>
    <mergeCell ref="B17:B19"/>
    <mergeCell ref="B30:D30"/>
    <mergeCell ref="G9:H9"/>
    <mergeCell ref="B15:D15"/>
    <mergeCell ref="B20:D20"/>
    <mergeCell ref="A27:A29"/>
    <mergeCell ref="A1:J1"/>
    <mergeCell ref="B27:B29"/>
    <mergeCell ref="A17:A19"/>
    <mergeCell ref="A22:A24"/>
    <mergeCell ref="A11:B12"/>
    <mergeCell ref="A2:J2"/>
    <mergeCell ref="I11:J11"/>
    <mergeCell ref="A5:J5"/>
    <mergeCell ref="E11:F11"/>
    <mergeCell ref="A9:B9"/>
    <mergeCell ref="C11:D12"/>
    <mergeCell ref="D6:F6"/>
    <mergeCell ref="D7:F7"/>
    <mergeCell ref="C8:D8"/>
    <mergeCell ref="E8:F8"/>
    <mergeCell ref="C9:D9"/>
    <mergeCell ref="B35:D35"/>
    <mergeCell ref="B40:D40"/>
    <mergeCell ref="B52:J54"/>
    <mergeCell ref="A46:J46"/>
    <mergeCell ref="A37:A39"/>
    <mergeCell ref="B37:B39"/>
    <mergeCell ref="H44:I44"/>
    <mergeCell ref="A42:D42"/>
    <mergeCell ref="B49:J50"/>
  </mergeCells>
  <phoneticPr fontId="0" type="noConversion"/>
  <printOptions horizontalCentered="1"/>
  <pageMargins left="0.32" right="0.25" top="0.25" bottom="0.22" header="0" footer="0.19"/>
  <pageSetup orientation="portrait" r:id="rId1"/>
  <headerFooter alignWithMargins="0"/>
  <cellWatches>
    <cellWatch r="C9"/>
  </cellWatche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pageSetUpPr fitToPage="1"/>
  </sheetPr>
  <dimension ref="A1:M62"/>
  <sheetViews>
    <sheetView tabSelected="1" topLeftCell="A16" zoomScale="85" zoomScaleNormal="85" workbookViewId="0">
      <selection activeCell="G41" sqref="G41:K41"/>
    </sheetView>
  </sheetViews>
  <sheetFormatPr defaultRowHeight="13.2"/>
  <cols>
    <col min="8" max="8" width="5.5546875" customWidth="1"/>
    <col min="9" max="9" width="5.6640625" customWidth="1"/>
    <col min="10" max="10" width="3.6640625" customWidth="1"/>
    <col min="11" max="11" width="7.109375" customWidth="1"/>
  </cols>
  <sheetData>
    <row r="1" spans="1:13">
      <c r="A1" s="387" t="s">
        <v>23</v>
      </c>
      <c r="B1" s="388"/>
      <c r="C1" s="388"/>
      <c r="D1" s="388"/>
      <c r="E1" s="388"/>
      <c r="F1" s="388"/>
      <c r="G1" s="388"/>
      <c r="H1" s="388"/>
      <c r="I1" s="388"/>
      <c r="J1" s="388"/>
      <c r="K1" s="389"/>
      <c r="L1" s="406" t="s">
        <v>24</v>
      </c>
      <c r="M1" s="407"/>
    </row>
    <row r="2" spans="1:13">
      <c r="A2" s="390" t="s">
        <v>25</v>
      </c>
      <c r="B2" s="391"/>
      <c r="C2" s="391"/>
      <c r="D2" s="391"/>
      <c r="E2" s="391"/>
      <c r="F2" s="391"/>
      <c r="G2" s="391"/>
      <c r="H2" s="391"/>
      <c r="I2" s="391"/>
      <c r="J2" s="391"/>
      <c r="K2" s="392"/>
      <c r="L2" s="404">
        <v>42557</v>
      </c>
      <c r="M2" s="405"/>
    </row>
    <row r="3" spans="1:13">
      <c r="A3" s="401" t="s">
        <v>26</v>
      </c>
      <c r="B3" s="402"/>
      <c r="C3" s="402"/>
      <c r="D3" s="402"/>
      <c r="E3" s="402"/>
      <c r="F3" s="402"/>
      <c r="G3" s="402"/>
      <c r="H3" s="402"/>
      <c r="I3" s="402"/>
      <c r="J3" s="402"/>
      <c r="K3" s="402"/>
      <c r="L3" s="402"/>
      <c r="M3" s="403"/>
    </row>
    <row r="4" spans="1:13">
      <c r="A4" s="451" t="s">
        <v>27</v>
      </c>
      <c r="B4" s="452"/>
      <c r="C4" s="408" t="s">
        <v>28</v>
      </c>
      <c r="D4" s="409"/>
      <c r="E4" s="409"/>
      <c r="F4" s="452"/>
      <c r="G4" s="408" t="s">
        <v>29</v>
      </c>
      <c r="H4" s="409"/>
      <c r="I4" s="409"/>
      <c r="J4" s="409"/>
      <c r="K4" s="409"/>
      <c r="L4" s="444" t="s">
        <v>83</v>
      </c>
      <c r="M4" s="445"/>
    </row>
    <row r="5" spans="1:13">
      <c r="A5" s="453" t="s">
        <v>2871</v>
      </c>
      <c r="B5" s="454"/>
      <c r="C5" s="455" t="s">
        <v>2872</v>
      </c>
      <c r="D5" s="456"/>
      <c r="E5" s="456"/>
      <c r="F5" s="454"/>
      <c r="G5" s="448" t="s">
        <v>2873</v>
      </c>
      <c r="H5" s="449"/>
      <c r="I5" s="449"/>
      <c r="J5" s="449"/>
      <c r="K5" s="450"/>
      <c r="L5" s="446" t="s">
        <v>2874</v>
      </c>
      <c r="M5" s="447"/>
    </row>
    <row r="6" spans="1:13">
      <c r="A6" s="401" t="s">
        <v>30</v>
      </c>
      <c r="B6" s="402"/>
      <c r="C6" s="402"/>
      <c r="D6" s="402"/>
      <c r="E6" s="402"/>
      <c r="F6" s="402"/>
      <c r="G6" s="402"/>
      <c r="H6" s="402"/>
      <c r="I6" s="402"/>
      <c r="J6" s="402"/>
      <c r="K6" s="402"/>
      <c r="L6" s="402"/>
      <c r="M6" s="403"/>
    </row>
    <row r="7" spans="1:13">
      <c r="A7" s="399" t="s">
        <v>31</v>
      </c>
      <c r="B7" s="400"/>
      <c r="C7" s="400"/>
      <c r="D7" s="400"/>
      <c r="E7" s="400"/>
      <c r="F7" s="400"/>
      <c r="G7" s="400"/>
      <c r="H7" s="400"/>
      <c r="I7" s="400"/>
      <c r="J7" s="400"/>
      <c r="K7" s="400"/>
      <c r="L7" s="400"/>
      <c r="M7" s="100"/>
    </row>
    <row r="8" spans="1:13">
      <c r="A8" s="101" t="s">
        <v>18</v>
      </c>
      <c r="B8" s="99" t="s">
        <v>32</v>
      </c>
      <c r="C8" s="99"/>
      <c r="D8" s="102"/>
      <c r="E8" s="99" t="s">
        <v>33</v>
      </c>
      <c r="F8" s="99"/>
      <c r="G8" s="99"/>
      <c r="H8" s="99"/>
      <c r="I8" s="99" t="s">
        <v>34</v>
      </c>
      <c r="J8" s="99"/>
      <c r="K8" s="99"/>
      <c r="L8" s="99"/>
      <c r="M8" s="100"/>
    </row>
    <row r="9" spans="1:13">
      <c r="A9" s="101"/>
      <c r="B9" s="99" t="s">
        <v>35</v>
      </c>
      <c r="C9" s="99"/>
      <c r="D9" s="99"/>
      <c r="E9" s="99" t="s">
        <v>36</v>
      </c>
      <c r="F9" s="99"/>
      <c r="G9" s="102"/>
      <c r="H9" s="102"/>
      <c r="I9" s="102"/>
      <c r="J9" s="102"/>
      <c r="K9" s="102"/>
      <c r="L9" s="102"/>
      <c r="M9" s="100"/>
    </row>
    <row r="10" spans="1:13" ht="13.8" thickBot="1">
      <c r="A10" s="103"/>
      <c r="B10" s="104" t="s">
        <v>37</v>
      </c>
      <c r="C10" s="104"/>
      <c r="D10" s="104"/>
      <c r="E10" s="104" t="s">
        <v>38</v>
      </c>
      <c r="F10" s="104"/>
      <c r="G10" s="105"/>
      <c r="H10" s="105"/>
      <c r="I10" s="105"/>
      <c r="J10" s="105"/>
      <c r="K10" s="105"/>
      <c r="L10" s="105"/>
      <c r="M10" s="106"/>
    </row>
    <row r="11" spans="1:13">
      <c r="A11" s="107" t="s">
        <v>39</v>
      </c>
      <c r="B11" s="108" t="s">
        <v>1</v>
      </c>
      <c r="C11" s="396" t="s">
        <v>82</v>
      </c>
      <c r="D11" s="397"/>
      <c r="E11" s="397"/>
      <c r="F11" s="398"/>
      <c r="G11" s="393" t="s">
        <v>2880</v>
      </c>
      <c r="H11" s="394"/>
      <c r="I11" s="394"/>
      <c r="J11" s="394"/>
      <c r="K11" s="395"/>
      <c r="L11" s="415" t="s">
        <v>81</v>
      </c>
      <c r="M11" s="416"/>
    </row>
    <row r="12" spans="1:13">
      <c r="A12" s="440">
        <v>1</v>
      </c>
      <c r="B12" s="442" t="s">
        <v>4</v>
      </c>
      <c r="C12" s="457"/>
      <c r="D12" s="424"/>
      <c r="E12" s="424"/>
      <c r="F12" s="424"/>
      <c r="G12" s="424"/>
      <c r="H12" s="424"/>
      <c r="I12" s="424"/>
      <c r="J12" s="424"/>
      <c r="K12" s="425"/>
      <c r="L12" s="426">
        <v>31.854217999999999</v>
      </c>
      <c r="M12" s="427"/>
    </row>
    <row r="13" spans="1:13">
      <c r="A13" s="441"/>
      <c r="B13" s="443"/>
      <c r="C13" s="458"/>
      <c r="D13" s="429"/>
      <c r="E13" s="429"/>
      <c r="F13" s="429"/>
      <c r="G13" s="429"/>
      <c r="H13" s="429"/>
      <c r="I13" s="429"/>
      <c r="J13" s="429"/>
      <c r="K13" s="430"/>
      <c r="L13" s="426">
        <v>-97.618797000000001</v>
      </c>
      <c r="M13" s="427"/>
    </row>
    <row r="14" spans="1:13">
      <c r="A14" s="110" t="s">
        <v>40</v>
      </c>
      <c r="B14" s="109"/>
      <c r="C14" s="32"/>
      <c r="D14" s="32"/>
      <c r="E14" s="32"/>
      <c r="F14" s="32"/>
      <c r="G14" s="32"/>
      <c r="H14" s="32"/>
      <c r="I14" s="32"/>
      <c r="J14" s="32"/>
      <c r="K14" s="32"/>
      <c r="L14" s="32"/>
      <c r="M14" s="70"/>
    </row>
    <row r="15" spans="1:13">
      <c r="A15" s="433" t="s">
        <v>2903</v>
      </c>
      <c r="B15" s="434"/>
      <c r="C15" s="434"/>
      <c r="D15" s="434"/>
      <c r="E15" s="434"/>
      <c r="F15" s="434"/>
      <c r="G15" s="434"/>
      <c r="H15" s="434"/>
      <c r="I15" s="434"/>
      <c r="J15" s="434"/>
      <c r="K15" s="434"/>
      <c r="L15" s="434"/>
      <c r="M15" s="435"/>
    </row>
    <row r="16" spans="1:13">
      <c r="A16" s="436"/>
      <c r="B16" s="434"/>
      <c r="C16" s="434"/>
      <c r="D16" s="434"/>
      <c r="E16" s="434"/>
      <c r="F16" s="434"/>
      <c r="G16" s="434"/>
      <c r="H16" s="434"/>
      <c r="I16" s="434"/>
      <c r="J16" s="434"/>
      <c r="K16" s="434"/>
      <c r="L16" s="434"/>
      <c r="M16" s="435"/>
    </row>
    <row r="17" spans="1:13">
      <c r="A17" s="436"/>
      <c r="B17" s="434"/>
      <c r="C17" s="434"/>
      <c r="D17" s="434"/>
      <c r="E17" s="434"/>
      <c r="F17" s="434"/>
      <c r="G17" s="434"/>
      <c r="H17" s="434"/>
      <c r="I17" s="434"/>
      <c r="J17" s="434"/>
      <c r="K17" s="434"/>
      <c r="L17" s="434"/>
      <c r="M17" s="435"/>
    </row>
    <row r="18" spans="1:13" ht="26.25" customHeight="1">
      <c r="A18" s="437"/>
      <c r="B18" s="438"/>
      <c r="C18" s="438"/>
      <c r="D18" s="438"/>
      <c r="E18" s="438"/>
      <c r="F18" s="438"/>
      <c r="G18" s="438"/>
      <c r="H18" s="438"/>
      <c r="I18" s="438"/>
      <c r="J18" s="438"/>
      <c r="K18" s="438"/>
      <c r="L18" s="438"/>
      <c r="M18" s="439"/>
    </row>
    <row r="19" spans="1:13">
      <c r="A19" s="111" t="s">
        <v>41</v>
      </c>
      <c r="B19" s="420" t="s">
        <v>2869</v>
      </c>
      <c r="C19" s="421"/>
      <c r="D19" s="421"/>
      <c r="E19" s="421"/>
      <c r="F19" s="421"/>
      <c r="G19" s="422"/>
      <c r="H19" s="408" t="s">
        <v>42</v>
      </c>
      <c r="I19" s="417"/>
      <c r="J19" s="418"/>
      <c r="K19" s="408" t="s">
        <v>43</v>
      </c>
      <c r="L19" s="417"/>
      <c r="M19" s="419"/>
    </row>
    <row r="20" spans="1:13" ht="13.8" thickBot="1">
      <c r="A20" s="459"/>
      <c r="B20" s="460"/>
      <c r="C20" s="460"/>
      <c r="D20" s="460"/>
      <c r="E20" s="460"/>
      <c r="F20" s="460"/>
      <c r="G20" s="461"/>
      <c r="H20" s="462">
        <v>0</v>
      </c>
      <c r="I20" s="413"/>
      <c r="J20" s="463"/>
      <c r="K20" s="412">
        <v>5000</v>
      </c>
      <c r="L20" s="464"/>
      <c r="M20" s="465"/>
    </row>
    <row r="21" spans="1:13">
      <c r="A21" s="107" t="s">
        <v>39</v>
      </c>
      <c r="B21" s="108" t="s">
        <v>1</v>
      </c>
      <c r="C21" s="396" t="s">
        <v>82</v>
      </c>
      <c r="D21" s="397"/>
      <c r="E21" s="397"/>
      <c r="F21" s="398"/>
      <c r="G21" s="393" t="s">
        <v>2881</v>
      </c>
      <c r="H21" s="394"/>
      <c r="I21" s="394"/>
      <c r="J21" s="394"/>
      <c r="K21" s="395"/>
      <c r="L21" s="415" t="s">
        <v>81</v>
      </c>
      <c r="M21" s="416"/>
    </row>
    <row r="22" spans="1:13" ht="12.75" customHeight="1">
      <c r="A22" s="440">
        <v>2</v>
      </c>
      <c r="B22" s="442" t="s">
        <v>4</v>
      </c>
      <c r="C22" s="457"/>
      <c r="D22" s="424"/>
      <c r="E22" s="424"/>
      <c r="F22" s="424"/>
      <c r="G22" s="424"/>
      <c r="H22" s="424"/>
      <c r="I22" s="424"/>
      <c r="J22" s="424"/>
      <c r="K22" s="425"/>
      <c r="L22" s="426">
        <v>32.111477000000001</v>
      </c>
      <c r="M22" s="427"/>
    </row>
    <row r="23" spans="1:13" ht="12.75" customHeight="1">
      <c r="A23" s="441"/>
      <c r="B23" s="443"/>
      <c r="C23" s="458"/>
      <c r="D23" s="429"/>
      <c r="E23" s="429"/>
      <c r="F23" s="429"/>
      <c r="G23" s="429"/>
      <c r="H23" s="429"/>
      <c r="I23" s="429"/>
      <c r="J23" s="429"/>
      <c r="K23" s="430"/>
      <c r="L23" s="426">
        <v>-97.494183000000007</v>
      </c>
      <c r="M23" s="427"/>
    </row>
    <row r="24" spans="1:13">
      <c r="A24" s="110" t="s">
        <v>40</v>
      </c>
      <c r="B24" s="109"/>
      <c r="C24" s="32"/>
      <c r="D24" s="32"/>
      <c r="E24" s="32"/>
      <c r="F24" s="32"/>
      <c r="G24" s="32"/>
      <c r="H24" s="32"/>
      <c r="I24" s="32"/>
      <c r="J24" s="32"/>
      <c r="K24" s="32"/>
      <c r="L24" s="32"/>
      <c r="M24" s="70"/>
    </row>
    <row r="25" spans="1:13">
      <c r="A25" s="433" t="s">
        <v>2883</v>
      </c>
      <c r="B25" s="434"/>
      <c r="C25" s="434"/>
      <c r="D25" s="434"/>
      <c r="E25" s="434"/>
      <c r="F25" s="434"/>
      <c r="G25" s="434"/>
      <c r="H25" s="434"/>
      <c r="I25" s="434"/>
      <c r="J25" s="434"/>
      <c r="K25" s="434"/>
      <c r="L25" s="434"/>
      <c r="M25" s="435"/>
    </row>
    <row r="26" spans="1:13">
      <c r="A26" s="436"/>
      <c r="B26" s="434"/>
      <c r="C26" s="434"/>
      <c r="D26" s="434"/>
      <c r="E26" s="434"/>
      <c r="F26" s="434"/>
      <c r="G26" s="434"/>
      <c r="H26" s="434"/>
      <c r="I26" s="434"/>
      <c r="J26" s="434"/>
      <c r="K26" s="434"/>
      <c r="L26" s="434"/>
      <c r="M26" s="435"/>
    </row>
    <row r="27" spans="1:13">
      <c r="A27" s="436"/>
      <c r="B27" s="434"/>
      <c r="C27" s="434"/>
      <c r="D27" s="434"/>
      <c r="E27" s="434"/>
      <c r="F27" s="434"/>
      <c r="G27" s="434"/>
      <c r="H27" s="434"/>
      <c r="I27" s="434"/>
      <c r="J27" s="434"/>
      <c r="K27" s="434"/>
      <c r="L27" s="434"/>
      <c r="M27" s="435"/>
    </row>
    <row r="28" spans="1:13">
      <c r="A28" s="437"/>
      <c r="B28" s="438"/>
      <c r="C28" s="438"/>
      <c r="D28" s="438"/>
      <c r="E28" s="438"/>
      <c r="F28" s="438"/>
      <c r="G28" s="438"/>
      <c r="H28" s="438"/>
      <c r="I28" s="438"/>
      <c r="J28" s="438"/>
      <c r="K28" s="438"/>
      <c r="L28" s="438"/>
      <c r="M28" s="439"/>
    </row>
    <row r="29" spans="1:13">
      <c r="A29" s="111" t="s">
        <v>41</v>
      </c>
      <c r="B29" s="420" t="s">
        <v>2869</v>
      </c>
      <c r="C29" s="421"/>
      <c r="D29" s="421"/>
      <c r="E29" s="421"/>
      <c r="F29" s="421"/>
      <c r="G29" s="422"/>
      <c r="H29" s="408" t="s">
        <v>42</v>
      </c>
      <c r="I29" s="417"/>
      <c r="J29" s="418"/>
      <c r="K29" s="408" t="s">
        <v>43</v>
      </c>
      <c r="L29" s="417"/>
      <c r="M29" s="419"/>
    </row>
    <row r="30" spans="1:13" ht="13.8" thickBot="1">
      <c r="A30" s="466"/>
      <c r="B30" s="467"/>
      <c r="C30" s="467"/>
      <c r="D30" s="467"/>
      <c r="E30" s="467"/>
      <c r="F30" s="467"/>
      <c r="G30" s="468"/>
      <c r="H30" s="462">
        <v>0</v>
      </c>
      <c r="I30" s="413"/>
      <c r="J30" s="463"/>
      <c r="K30" s="412">
        <v>25000</v>
      </c>
      <c r="L30" s="464"/>
      <c r="M30" s="465"/>
    </row>
    <row r="31" spans="1:13">
      <c r="A31" s="107" t="s">
        <v>39</v>
      </c>
      <c r="B31" s="108" t="s">
        <v>1</v>
      </c>
      <c r="C31" s="396" t="s">
        <v>82</v>
      </c>
      <c r="D31" s="397"/>
      <c r="E31" s="397"/>
      <c r="F31" s="398"/>
      <c r="G31" s="393" t="s">
        <v>2882</v>
      </c>
      <c r="H31" s="394"/>
      <c r="I31" s="394"/>
      <c r="J31" s="394"/>
      <c r="K31" s="395"/>
      <c r="L31" s="415" t="s">
        <v>81</v>
      </c>
      <c r="M31" s="416"/>
    </row>
    <row r="32" spans="1:13" ht="12.75" customHeight="1">
      <c r="A32" s="440">
        <v>3</v>
      </c>
      <c r="B32" s="442" t="s">
        <v>4</v>
      </c>
      <c r="C32" s="423"/>
      <c r="D32" s="424"/>
      <c r="E32" s="424"/>
      <c r="F32" s="424"/>
      <c r="G32" s="424"/>
      <c r="H32" s="424"/>
      <c r="I32" s="424"/>
      <c r="J32" s="424"/>
      <c r="K32" s="425"/>
      <c r="L32" s="426">
        <v>31.078793000000001</v>
      </c>
      <c r="M32" s="427"/>
    </row>
    <row r="33" spans="1:13" ht="12.75" customHeight="1">
      <c r="A33" s="441"/>
      <c r="B33" s="443"/>
      <c r="C33" s="428"/>
      <c r="D33" s="429"/>
      <c r="E33" s="429"/>
      <c r="F33" s="429"/>
      <c r="G33" s="429"/>
      <c r="H33" s="429"/>
      <c r="I33" s="429"/>
      <c r="J33" s="429"/>
      <c r="K33" s="430"/>
      <c r="L33" s="426">
        <v>-97.504822000000004</v>
      </c>
      <c r="M33" s="427"/>
    </row>
    <row r="34" spans="1:13" ht="12.75" customHeight="1">
      <c r="A34" s="110" t="s">
        <v>40</v>
      </c>
      <c r="B34" s="109"/>
      <c r="C34" s="32"/>
      <c r="D34" s="32"/>
      <c r="E34" s="32"/>
      <c r="F34" s="32"/>
      <c r="G34" s="32"/>
      <c r="H34" s="32"/>
      <c r="I34" s="32"/>
      <c r="J34" s="32"/>
      <c r="K34" s="32"/>
      <c r="L34" s="32"/>
      <c r="M34" s="70"/>
    </row>
    <row r="35" spans="1:13">
      <c r="A35" s="433" t="s">
        <v>2883</v>
      </c>
      <c r="B35" s="434"/>
      <c r="C35" s="434"/>
      <c r="D35" s="434"/>
      <c r="E35" s="434"/>
      <c r="F35" s="434"/>
      <c r="G35" s="434"/>
      <c r="H35" s="434"/>
      <c r="I35" s="434"/>
      <c r="J35" s="434"/>
      <c r="K35" s="434"/>
      <c r="L35" s="434"/>
      <c r="M35" s="435"/>
    </row>
    <row r="36" spans="1:13">
      <c r="A36" s="436"/>
      <c r="B36" s="434"/>
      <c r="C36" s="434"/>
      <c r="D36" s="434"/>
      <c r="E36" s="434"/>
      <c r="F36" s="434"/>
      <c r="G36" s="434"/>
      <c r="H36" s="434"/>
      <c r="I36" s="434"/>
      <c r="J36" s="434"/>
      <c r="K36" s="434"/>
      <c r="L36" s="434"/>
      <c r="M36" s="435"/>
    </row>
    <row r="37" spans="1:13">
      <c r="A37" s="436"/>
      <c r="B37" s="434"/>
      <c r="C37" s="434"/>
      <c r="D37" s="434"/>
      <c r="E37" s="434"/>
      <c r="F37" s="434"/>
      <c r="G37" s="434"/>
      <c r="H37" s="434"/>
      <c r="I37" s="434"/>
      <c r="J37" s="434"/>
      <c r="K37" s="434"/>
      <c r="L37" s="434"/>
      <c r="M37" s="435"/>
    </row>
    <row r="38" spans="1:13">
      <c r="A38" s="437"/>
      <c r="B38" s="438"/>
      <c r="C38" s="438"/>
      <c r="D38" s="438"/>
      <c r="E38" s="438"/>
      <c r="F38" s="438"/>
      <c r="G38" s="438"/>
      <c r="H38" s="438"/>
      <c r="I38" s="438"/>
      <c r="J38" s="438"/>
      <c r="K38" s="438"/>
      <c r="L38" s="438"/>
      <c r="M38" s="439"/>
    </row>
    <row r="39" spans="1:13">
      <c r="A39" s="111" t="s">
        <v>41</v>
      </c>
      <c r="B39" s="420" t="s">
        <v>2869</v>
      </c>
      <c r="C39" s="421"/>
      <c r="D39" s="421"/>
      <c r="E39" s="421"/>
      <c r="F39" s="421"/>
      <c r="G39" s="422"/>
      <c r="H39" s="408" t="s">
        <v>42</v>
      </c>
      <c r="I39" s="417"/>
      <c r="J39" s="418"/>
      <c r="K39" s="408" t="s">
        <v>43</v>
      </c>
      <c r="L39" s="417"/>
      <c r="M39" s="419"/>
    </row>
    <row r="40" spans="1:13" ht="13.8" thickBot="1">
      <c r="A40" s="466"/>
      <c r="B40" s="467"/>
      <c r="C40" s="467"/>
      <c r="D40" s="467"/>
      <c r="E40" s="467"/>
      <c r="F40" s="467"/>
      <c r="G40" s="468"/>
      <c r="H40" s="462">
        <v>0</v>
      </c>
      <c r="I40" s="413"/>
      <c r="J40" s="463"/>
      <c r="K40" s="412">
        <v>2000</v>
      </c>
      <c r="L40" s="464"/>
      <c r="M40" s="465"/>
    </row>
    <row r="41" spans="1:13">
      <c r="A41" s="107" t="s">
        <v>39</v>
      </c>
      <c r="B41" s="108" t="s">
        <v>1</v>
      </c>
      <c r="C41" s="396" t="s">
        <v>82</v>
      </c>
      <c r="D41" s="397"/>
      <c r="E41" s="397"/>
      <c r="F41" s="398"/>
      <c r="G41" s="393" t="s">
        <v>2884</v>
      </c>
      <c r="H41" s="394"/>
      <c r="I41" s="394"/>
      <c r="J41" s="394"/>
      <c r="K41" s="395"/>
      <c r="L41" s="415" t="s">
        <v>81</v>
      </c>
      <c r="M41" s="416"/>
    </row>
    <row r="42" spans="1:13" ht="12.75" customHeight="1">
      <c r="A42" s="440">
        <v>4</v>
      </c>
      <c r="B42" s="442" t="s">
        <v>4</v>
      </c>
      <c r="C42" s="423"/>
      <c r="D42" s="424"/>
      <c r="E42" s="424"/>
      <c r="F42" s="424"/>
      <c r="G42" s="424"/>
      <c r="H42" s="424"/>
      <c r="I42" s="424"/>
      <c r="J42" s="424"/>
      <c r="K42" s="425"/>
      <c r="L42" s="426">
        <v>31.745107000000001</v>
      </c>
      <c r="M42" s="427"/>
    </row>
    <row r="43" spans="1:13" ht="12.75" customHeight="1">
      <c r="A43" s="441"/>
      <c r="B43" s="443"/>
      <c r="C43" s="428"/>
      <c r="D43" s="429"/>
      <c r="E43" s="429"/>
      <c r="F43" s="429"/>
      <c r="G43" s="429"/>
      <c r="H43" s="429"/>
      <c r="I43" s="429"/>
      <c r="J43" s="429"/>
      <c r="K43" s="430"/>
      <c r="L43" s="426">
        <v>-97.298062000000002</v>
      </c>
      <c r="M43" s="427"/>
    </row>
    <row r="44" spans="1:13" ht="12.75" customHeight="1">
      <c r="A44" s="110" t="s">
        <v>40</v>
      </c>
      <c r="B44" s="109"/>
      <c r="C44" s="32"/>
      <c r="D44" s="32"/>
      <c r="E44" s="32"/>
      <c r="F44" s="32"/>
      <c r="G44" s="32"/>
      <c r="H44" s="32"/>
      <c r="I44" s="32"/>
      <c r="J44" s="32"/>
      <c r="K44" s="32"/>
      <c r="L44" s="32"/>
      <c r="M44" s="70"/>
    </row>
    <row r="45" spans="1:13">
      <c r="A45" s="433" t="s">
        <v>2885</v>
      </c>
      <c r="B45" s="434"/>
      <c r="C45" s="434"/>
      <c r="D45" s="434"/>
      <c r="E45" s="434"/>
      <c r="F45" s="434"/>
      <c r="G45" s="434"/>
      <c r="H45" s="434"/>
      <c r="I45" s="434"/>
      <c r="J45" s="434"/>
      <c r="K45" s="434"/>
      <c r="L45" s="434"/>
      <c r="M45" s="435"/>
    </row>
    <row r="46" spans="1:13">
      <c r="A46" s="436"/>
      <c r="B46" s="434"/>
      <c r="C46" s="434"/>
      <c r="D46" s="434"/>
      <c r="E46" s="434"/>
      <c r="F46" s="434"/>
      <c r="G46" s="434"/>
      <c r="H46" s="434"/>
      <c r="I46" s="434"/>
      <c r="J46" s="434"/>
      <c r="K46" s="434"/>
      <c r="L46" s="434"/>
      <c r="M46" s="435"/>
    </row>
    <row r="47" spans="1:13">
      <c r="A47" s="436"/>
      <c r="B47" s="434"/>
      <c r="C47" s="434"/>
      <c r="D47" s="434"/>
      <c r="E47" s="434"/>
      <c r="F47" s="434"/>
      <c r="G47" s="434"/>
      <c r="H47" s="434"/>
      <c r="I47" s="434"/>
      <c r="J47" s="434"/>
      <c r="K47" s="434"/>
      <c r="L47" s="434"/>
      <c r="M47" s="435"/>
    </row>
    <row r="48" spans="1:13">
      <c r="A48" s="437"/>
      <c r="B48" s="438"/>
      <c r="C48" s="438"/>
      <c r="D48" s="438"/>
      <c r="E48" s="438"/>
      <c r="F48" s="438"/>
      <c r="G48" s="438"/>
      <c r="H48" s="438"/>
      <c r="I48" s="438"/>
      <c r="J48" s="438"/>
      <c r="K48" s="438"/>
      <c r="L48" s="438"/>
      <c r="M48" s="439"/>
    </row>
    <row r="49" spans="1:13">
      <c r="A49" s="111" t="s">
        <v>41</v>
      </c>
      <c r="B49" s="420" t="s">
        <v>2886</v>
      </c>
      <c r="C49" s="421"/>
      <c r="D49" s="421"/>
      <c r="E49" s="421"/>
      <c r="F49" s="421"/>
      <c r="G49" s="422"/>
      <c r="H49" s="408" t="s">
        <v>42</v>
      </c>
      <c r="I49" s="417"/>
      <c r="J49" s="418"/>
      <c r="K49" s="408" t="s">
        <v>43</v>
      </c>
      <c r="L49" s="417"/>
      <c r="M49" s="419"/>
    </row>
    <row r="50" spans="1:13" ht="13.8" thickBot="1">
      <c r="A50" s="459"/>
      <c r="B50" s="460"/>
      <c r="C50" s="460"/>
      <c r="D50" s="460"/>
      <c r="E50" s="460"/>
      <c r="F50" s="460"/>
      <c r="G50" s="461"/>
      <c r="H50" s="462">
        <v>0</v>
      </c>
      <c r="I50" s="413"/>
      <c r="J50" s="463"/>
      <c r="K50" s="412">
        <v>20000</v>
      </c>
      <c r="L50" s="464"/>
      <c r="M50" s="465"/>
    </row>
    <row r="51" spans="1:13">
      <c r="A51" s="484" t="s">
        <v>44</v>
      </c>
      <c r="B51" s="431"/>
      <c r="C51" s="485"/>
      <c r="D51" s="486" t="s">
        <v>45</v>
      </c>
      <c r="E51" s="431"/>
      <c r="F51" s="485"/>
      <c r="G51" s="486" t="s">
        <v>46</v>
      </c>
      <c r="H51" s="431"/>
      <c r="I51" s="431"/>
      <c r="J51" s="485"/>
      <c r="K51" s="431" t="s">
        <v>125</v>
      </c>
      <c r="L51" s="431"/>
      <c r="M51" s="432"/>
    </row>
    <row r="52" spans="1:13">
      <c r="A52" s="469" t="str">
        <f>'Summary Sheet'!E67</f>
        <v>Vernon Lansford</v>
      </c>
      <c r="B52" s="470"/>
      <c r="C52" s="471"/>
      <c r="D52" s="475" t="str">
        <f>'Summary Sheet'!G67</f>
        <v>FEMA</v>
      </c>
      <c r="E52" s="470"/>
      <c r="F52" s="471"/>
      <c r="G52" s="477"/>
      <c r="H52" s="470"/>
      <c r="I52" s="470"/>
      <c r="J52" s="471"/>
      <c r="K52" s="478" t="str">
        <f>'Summary Sheet'!I67</f>
        <v>225-910-5272</v>
      </c>
      <c r="L52" s="479"/>
      <c r="M52" s="480"/>
    </row>
    <row r="53" spans="1:13">
      <c r="A53" s="472"/>
      <c r="B53" s="473"/>
      <c r="C53" s="474"/>
      <c r="D53" s="476"/>
      <c r="E53" s="473"/>
      <c r="F53" s="474"/>
      <c r="G53" s="476"/>
      <c r="H53" s="473"/>
      <c r="I53" s="473"/>
      <c r="J53" s="474"/>
      <c r="K53" s="481"/>
      <c r="L53" s="482"/>
      <c r="M53" s="483"/>
    </row>
    <row r="54" spans="1:13" ht="13.8" thickBot="1">
      <c r="A54" s="38" t="s">
        <v>47</v>
      </c>
      <c r="B54" s="39"/>
      <c r="C54" s="40"/>
      <c r="D54" s="40"/>
      <c r="E54" s="40"/>
      <c r="F54" s="40"/>
      <c r="G54" s="410" t="s">
        <v>119</v>
      </c>
      <c r="H54" s="410"/>
      <c r="I54" s="410"/>
      <c r="J54" s="411"/>
      <c r="K54" s="412">
        <f>+K20+K30+K40+K50</f>
        <v>52000</v>
      </c>
      <c r="L54" s="413"/>
      <c r="M54" s="414"/>
    </row>
    <row r="55" spans="1:13" ht="2.25" customHeight="1"/>
    <row r="56" spans="1:13">
      <c r="A56" s="33" t="s">
        <v>64</v>
      </c>
      <c r="D56" s="34" t="s">
        <v>70</v>
      </c>
      <c r="G56" s="33" t="s">
        <v>75</v>
      </c>
      <c r="K56" s="35" t="s">
        <v>2861</v>
      </c>
    </row>
    <row r="57" spans="1:13">
      <c r="A57" s="33" t="s">
        <v>78</v>
      </c>
      <c r="D57" s="33" t="s">
        <v>69</v>
      </c>
      <c r="G57" s="33" t="s">
        <v>76</v>
      </c>
      <c r="K57" s="35" t="s">
        <v>2862</v>
      </c>
    </row>
    <row r="58" spans="1:13">
      <c r="A58" s="33" t="s">
        <v>79</v>
      </c>
      <c r="D58" s="33" t="s">
        <v>71</v>
      </c>
      <c r="G58" s="33" t="s">
        <v>77</v>
      </c>
      <c r="K58" s="35" t="s">
        <v>2863</v>
      </c>
    </row>
    <row r="59" spans="1:13">
      <c r="A59" s="33" t="s">
        <v>65</v>
      </c>
      <c r="D59" s="34" t="s">
        <v>84</v>
      </c>
      <c r="E59" s="35"/>
      <c r="F59" s="35"/>
      <c r="G59" s="33" t="s">
        <v>72</v>
      </c>
      <c r="K59" s="35" t="s">
        <v>2864</v>
      </c>
    </row>
    <row r="60" spans="1:13">
      <c r="A60" s="33" t="s">
        <v>66</v>
      </c>
      <c r="D60" s="34" t="s">
        <v>85</v>
      </c>
      <c r="G60" s="35" t="s">
        <v>2858</v>
      </c>
      <c r="K60" s="35" t="s">
        <v>2865</v>
      </c>
    </row>
    <row r="61" spans="1:13">
      <c r="A61" s="33" t="s">
        <v>67</v>
      </c>
      <c r="D61" s="33" t="s">
        <v>73</v>
      </c>
      <c r="G61" s="35" t="s">
        <v>2859</v>
      </c>
      <c r="K61" s="35" t="s">
        <v>2866</v>
      </c>
    </row>
    <row r="62" spans="1:13">
      <c r="A62" s="33" t="s">
        <v>68</v>
      </c>
      <c r="D62" s="33" t="s">
        <v>74</v>
      </c>
      <c r="G62" s="35" t="s">
        <v>2860</v>
      </c>
      <c r="K62" s="35" t="s">
        <v>2867</v>
      </c>
    </row>
  </sheetData>
  <mergeCells count="89">
    <mergeCell ref="A52:C53"/>
    <mergeCell ref="D52:F53"/>
    <mergeCell ref="G52:J53"/>
    <mergeCell ref="K52:M53"/>
    <mergeCell ref="A25:M28"/>
    <mergeCell ref="A35:M38"/>
    <mergeCell ref="A45:M48"/>
    <mergeCell ref="L41:M41"/>
    <mergeCell ref="A42:A43"/>
    <mergeCell ref="B42:B43"/>
    <mergeCell ref="A50:G50"/>
    <mergeCell ref="H50:J50"/>
    <mergeCell ref="K50:M50"/>
    <mergeCell ref="A51:C51"/>
    <mergeCell ref="D51:F51"/>
    <mergeCell ref="G51:J51"/>
    <mergeCell ref="A40:G40"/>
    <mergeCell ref="H40:J40"/>
    <mergeCell ref="K40:M40"/>
    <mergeCell ref="B49:G49"/>
    <mergeCell ref="H49:J49"/>
    <mergeCell ref="K49:M49"/>
    <mergeCell ref="C42:K42"/>
    <mergeCell ref="L42:M42"/>
    <mergeCell ref="C43:K43"/>
    <mergeCell ref="L43:M43"/>
    <mergeCell ref="G41:K41"/>
    <mergeCell ref="A22:A23"/>
    <mergeCell ref="K20:M20"/>
    <mergeCell ref="L31:M31"/>
    <mergeCell ref="B39:G39"/>
    <mergeCell ref="H39:J39"/>
    <mergeCell ref="K39:M39"/>
    <mergeCell ref="A30:G30"/>
    <mergeCell ref="H30:J30"/>
    <mergeCell ref="K30:M30"/>
    <mergeCell ref="B22:B23"/>
    <mergeCell ref="C22:K22"/>
    <mergeCell ref="L22:M22"/>
    <mergeCell ref="C23:K23"/>
    <mergeCell ref="L23:M23"/>
    <mergeCell ref="A32:A33"/>
    <mergeCell ref="B32:B33"/>
    <mergeCell ref="B19:G19"/>
    <mergeCell ref="H19:J19"/>
    <mergeCell ref="K19:M19"/>
    <mergeCell ref="A20:G20"/>
    <mergeCell ref="H20:J20"/>
    <mergeCell ref="A15:M18"/>
    <mergeCell ref="A12:A13"/>
    <mergeCell ref="B12:B13"/>
    <mergeCell ref="L4:M4"/>
    <mergeCell ref="L5:M5"/>
    <mergeCell ref="G5:K5"/>
    <mergeCell ref="A4:B4"/>
    <mergeCell ref="A5:B5"/>
    <mergeCell ref="C4:F4"/>
    <mergeCell ref="C5:F5"/>
    <mergeCell ref="L11:M11"/>
    <mergeCell ref="L12:M12"/>
    <mergeCell ref="L13:M13"/>
    <mergeCell ref="C12:K12"/>
    <mergeCell ref="C13:K13"/>
    <mergeCell ref="G54:J54"/>
    <mergeCell ref="K54:M54"/>
    <mergeCell ref="C21:F21"/>
    <mergeCell ref="G21:K21"/>
    <mergeCell ref="C31:F31"/>
    <mergeCell ref="G31:K31"/>
    <mergeCell ref="C41:F41"/>
    <mergeCell ref="L21:M21"/>
    <mergeCell ref="H29:J29"/>
    <mergeCell ref="K29:M29"/>
    <mergeCell ref="B29:G29"/>
    <mergeCell ref="C32:K32"/>
    <mergeCell ref="L32:M32"/>
    <mergeCell ref="C33:K33"/>
    <mergeCell ref="L33:M33"/>
    <mergeCell ref="K51:M51"/>
    <mergeCell ref="A1:K1"/>
    <mergeCell ref="A2:K2"/>
    <mergeCell ref="G11:K11"/>
    <mergeCell ref="C11:F11"/>
    <mergeCell ref="A7:L7"/>
    <mergeCell ref="A3:M3"/>
    <mergeCell ref="L2:M2"/>
    <mergeCell ref="L1:M1"/>
    <mergeCell ref="A6:M6"/>
    <mergeCell ref="G4:K4"/>
  </mergeCells>
  <phoneticPr fontId="0" type="noConversion"/>
  <pageMargins left="0.5" right="0.5" top="0.5" bottom="0.25" header="0" footer="0.25"/>
  <pageSetup scale="94" orientation="portrait" r:id="rId1"/>
  <headerFooter alignWithMargins="0">
    <oddFooter>&amp;L&amp;8&amp;F  &amp;D&amp;C&amp;12 2</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pageSetUpPr fitToPage="1"/>
  </sheetPr>
  <dimension ref="A1:O62"/>
  <sheetViews>
    <sheetView zoomScale="85" zoomScaleNormal="85" workbookViewId="0">
      <selection sqref="A1:K1"/>
    </sheetView>
  </sheetViews>
  <sheetFormatPr defaultRowHeight="13.2"/>
  <cols>
    <col min="8" max="8" width="5.5546875" customWidth="1"/>
    <col min="9" max="9" width="5.6640625" customWidth="1"/>
    <col min="10" max="10" width="3.6640625" customWidth="1"/>
    <col min="11" max="11" width="7.109375" customWidth="1"/>
  </cols>
  <sheetData>
    <row r="1" spans="1:15">
      <c r="A1" s="387" t="s">
        <v>23</v>
      </c>
      <c r="B1" s="388"/>
      <c r="C1" s="388"/>
      <c r="D1" s="388"/>
      <c r="E1" s="388"/>
      <c r="F1" s="388"/>
      <c r="G1" s="388"/>
      <c r="H1" s="388"/>
      <c r="I1" s="388"/>
      <c r="J1" s="388"/>
      <c r="K1" s="389"/>
      <c r="L1" s="406" t="s">
        <v>24</v>
      </c>
      <c r="M1" s="407"/>
    </row>
    <row r="2" spans="1:15">
      <c r="A2" s="390" t="s">
        <v>25</v>
      </c>
      <c r="B2" s="391"/>
      <c r="C2" s="391"/>
      <c r="D2" s="391"/>
      <c r="E2" s="391"/>
      <c r="F2" s="391"/>
      <c r="G2" s="391"/>
      <c r="H2" s="391"/>
      <c r="I2" s="391"/>
      <c r="J2" s="391"/>
      <c r="K2" s="392"/>
      <c r="L2" s="404">
        <v>42557</v>
      </c>
      <c r="M2" s="405"/>
    </row>
    <row r="3" spans="1:15">
      <c r="A3" s="401" t="s">
        <v>26</v>
      </c>
      <c r="B3" s="402"/>
      <c r="C3" s="402"/>
      <c r="D3" s="402"/>
      <c r="E3" s="402"/>
      <c r="F3" s="402"/>
      <c r="G3" s="402"/>
      <c r="H3" s="402"/>
      <c r="I3" s="402"/>
      <c r="J3" s="402"/>
      <c r="K3" s="402"/>
      <c r="L3" s="402"/>
      <c r="M3" s="403"/>
    </row>
    <row r="4" spans="1:15">
      <c r="A4" s="451" t="s">
        <v>27</v>
      </c>
      <c r="B4" s="452"/>
      <c r="C4" s="408" t="s">
        <v>28</v>
      </c>
      <c r="D4" s="409"/>
      <c r="E4" s="409"/>
      <c r="F4" s="452"/>
      <c r="G4" s="408" t="s">
        <v>29</v>
      </c>
      <c r="H4" s="409"/>
      <c r="I4" s="409"/>
      <c r="J4" s="409"/>
      <c r="K4" s="409"/>
      <c r="L4" s="444" t="s">
        <v>83</v>
      </c>
      <c r="M4" s="445"/>
    </row>
    <row r="5" spans="1:15">
      <c r="A5" s="453" t="s">
        <v>2871</v>
      </c>
      <c r="B5" s="454"/>
      <c r="C5" s="455" t="s">
        <v>2872</v>
      </c>
      <c r="D5" s="456"/>
      <c r="E5" s="456"/>
      <c r="F5" s="454"/>
      <c r="G5" s="448" t="s">
        <v>2873</v>
      </c>
      <c r="H5" s="449"/>
      <c r="I5" s="449"/>
      <c r="J5" s="449"/>
      <c r="K5" s="450"/>
      <c r="L5" s="446" t="s">
        <v>2874</v>
      </c>
      <c r="M5" s="447"/>
    </row>
    <row r="6" spans="1:15">
      <c r="A6" s="401" t="s">
        <v>30</v>
      </c>
      <c r="B6" s="402"/>
      <c r="C6" s="402"/>
      <c r="D6" s="402"/>
      <c r="E6" s="402"/>
      <c r="F6" s="402"/>
      <c r="G6" s="402"/>
      <c r="H6" s="402"/>
      <c r="I6" s="402"/>
      <c r="J6" s="402"/>
      <c r="K6" s="402"/>
      <c r="L6" s="402"/>
      <c r="M6" s="403"/>
    </row>
    <row r="7" spans="1:15">
      <c r="A7" s="399" t="s">
        <v>31</v>
      </c>
      <c r="B7" s="400"/>
      <c r="C7" s="400"/>
      <c r="D7" s="400"/>
      <c r="E7" s="400"/>
      <c r="F7" s="400"/>
      <c r="G7" s="400"/>
      <c r="H7" s="400"/>
      <c r="I7" s="400"/>
      <c r="J7" s="400"/>
      <c r="K7" s="400"/>
      <c r="L7" s="400"/>
      <c r="M7" s="100"/>
    </row>
    <row r="8" spans="1:15">
      <c r="A8" s="101" t="s">
        <v>18</v>
      </c>
      <c r="B8" s="99" t="s">
        <v>32</v>
      </c>
      <c r="C8" s="99"/>
      <c r="D8" s="102"/>
      <c r="E8" s="99" t="s">
        <v>33</v>
      </c>
      <c r="F8" s="99"/>
      <c r="G8" s="99"/>
      <c r="H8" s="99"/>
      <c r="I8" s="99" t="s">
        <v>34</v>
      </c>
      <c r="J8" s="99"/>
      <c r="K8" s="99"/>
      <c r="L8" s="99"/>
      <c r="M8" s="100"/>
    </row>
    <row r="9" spans="1:15">
      <c r="A9" s="101"/>
      <c r="B9" s="99" t="s">
        <v>35</v>
      </c>
      <c r="C9" s="99"/>
      <c r="D9" s="99"/>
      <c r="E9" s="99" t="s">
        <v>36</v>
      </c>
      <c r="F9" s="99"/>
      <c r="G9" s="102"/>
      <c r="H9" s="102"/>
      <c r="I9" s="102"/>
      <c r="J9" s="102"/>
      <c r="K9" s="102"/>
      <c r="L9" s="102"/>
      <c r="M9" s="100"/>
    </row>
    <row r="10" spans="1:15" ht="13.8" thickBot="1">
      <c r="A10" s="103"/>
      <c r="B10" s="104" t="s">
        <v>37</v>
      </c>
      <c r="C10" s="104"/>
      <c r="D10" s="104"/>
      <c r="E10" s="104" t="s">
        <v>38</v>
      </c>
      <c r="F10" s="104"/>
      <c r="G10" s="105"/>
      <c r="H10" s="105"/>
      <c r="I10" s="105"/>
      <c r="J10" s="105"/>
      <c r="K10" s="105"/>
      <c r="L10" s="105"/>
      <c r="M10" s="106"/>
    </row>
    <row r="11" spans="1:15">
      <c r="A11" s="107" t="s">
        <v>39</v>
      </c>
      <c r="B11" s="108" t="s">
        <v>1</v>
      </c>
      <c r="C11" s="396" t="s">
        <v>82</v>
      </c>
      <c r="D11" s="397"/>
      <c r="E11" s="397"/>
      <c r="F11" s="398"/>
      <c r="G11" s="393" t="s">
        <v>2868</v>
      </c>
      <c r="H11" s="394"/>
      <c r="I11" s="394"/>
      <c r="J11" s="394"/>
      <c r="K11" s="395"/>
      <c r="L11" s="415" t="s">
        <v>81</v>
      </c>
      <c r="M11" s="416"/>
      <c r="O11" t="s">
        <v>124</v>
      </c>
    </row>
    <row r="12" spans="1:15">
      <c r="A12" s="440">
        <v>5</v>
      </c>
      <c r="B12" s="442" t="s">
        <v>4</v>
      </c>
      <c r="C12" s="457"/>
      <c r="D12" s="424"/>
      <c r="E12" s="424"/>
      <c r="F12" s="424"/>
      <c r="G12" s="424"/>
      <c r="H12" s="424"/>
      <c r="I12" s="424"/>
      <c r="J12" s="424"/>
      <c r="K12" s="425"/>
      <c r="L12" s="426">
        <v>31.820868000000001</v>
      </c>
      <c r="M12" s="427"/>
    </row>
    <row r="13" spans="1:15">
      <c r="A13" s="441"/>
      <c r="B13" s="443"/>
      <c r="C13" s="458"/>
      <c r="D13" s="429"/>
      <c r="E13" s="429"/>
      <c r="F13" s="429"/>
      <c r="G13" s="429"/>
      <c r="H13" s="429"/>
      <c r="I13" s="429"/>
      <c r="J13" s="429"/>
      <c r="K13" s="430"/>
      <c r="L13" s="426">
        <v>-97.486503999999996</v>
      </c>
      <c r="M13" s="427"/>
    </row>
    <row r="14" spans="1:15">
      <c r="A14" s="110" t="s">
        <v>40</v>
      </c>
      <c r="B14" s="109"/>
      <c r="C14" s="32"/>
      <c r="D14" s="32"/>
      <c r="E14" s="32"/>
      <c r="F14" s="32"/>
      <c r="G14" s="32"/>
      <c r="H14" s="32"/>
      <c r="I14" s="32"/>
      <c r="J14" s="32"/>
      <c r="K14" s="32"/>
      <c r="L14" s="32"/>
      <c r="M14" s="70"/>
    </row>
    <row r="15" spans="1:15">
      <c r="A15" s="433" t="s">
        <v>2888</v>
      </c>
      <c r="B15" s="434"/>
      <c r="C15" s="434"/>
      <c r="D15" s="434"/>
      <c r="E15" s="434"/>
      <c r="F15" s="434"/>
      <c r="G15" s="434"/>
      <c r="H15" s="434"/>
      <c r="I15" s="434"/>
      <c r="J15" s="434"/>
      <c r="K15" s="434"/>
      <c r="L15" s="434"/>
      <c r="M15" s="435"/>
    </row>
    <row r="16" spans="1:15">
      <c r="A16" s="436"/>
      <c r="B16" s="434"/>
      <c r="C16" s="434"/>
      <c r="D16" s="434"/>
      <c r="E16" s="434"/>
      <c r="F16" s="434"/>
      <c r="G16" s="434"/>
      <c r="H16" s="434"/>
      <c r="I16" s="434"/>
      <c r="J16" s="434"/>
      <c r="K16" s="434"/>
      <c r="L16" s="434"/>
      <c r="M16" s="435"/>
    </row>
    <row r="17" spans="1:13">
      <c r="A17" s="436"/>
      <c r="B17" s="434"/>
      <c r="C17" s="434"/>
      <c r="D17" s="434"/>
      <c r="E17" s="434"/>
      <c r="F17" s="434"/>
      <c r="G17" s="434"/>
      <c r="H17" s="434"/>
      <c r="I17" s="434"/>
      <c r="J17" s="434"/>
      <c r="K17" s="434"/>
      <c r="L17" s="434"/>
      <c r="M17" s="435"/>
    </row>
    <row r="18" spans="1:13" ht="26.25" customHeight="1">
      <c r="A18" s="437"/>
      <c r="B18" s="438"/>
      <c r="C18" s="438"/>
      <c r="D18" s="438"/>
      <c r="E18" s="438"/>
      <c r="F18" s="438"/>
      <c r="G18" s="438"/>
      <c r="H18" s="438"/>
      <c r="I18" s="438"/>
      <c r="J18" s="438"/>
      <c r="K18" s="438"/>
      <c r="L18" s="438"/>
      <c r="M18" s="439"/>
    </row>
    <row r="19" spans="1:13">
      <c r="A19" s="111" t="s">
        <v>41</v>
      </c>
      <c r="B19" s="420" t="s">
        <v>2887</v>
      </c>
      <c r="C19" s="421"/>
      <c r="D19" s="421"/>
      <c r="E19" s="421"/>
      <c r="F19" s="421"/>
      <c r="G19" s="422"/>
      <c r="H19" s="408" t="s">
        <v>42</v>
      </c>
      <c r="I19" s="417"/>
      <c r="J19" s="418"/>
      <c r="K19" s="408" t="s">
        <v>43</v>
      </c>
      <c r="L19" s="417"/>
      <c r="M19" s="419"/>
    </row>
    <row r="20" spans="1:13" ht="13.8" thickBot="1">
      <c r="A20" s="459"/>
      <c r="B20" s="460"/>
      <c r="C20" s="460"/>
      <c r="D20" s="460"/>
      <c r="E20" s="460"/>
      <c r="F20" s="460"/>
      <c r="G20" s="461"/>
      <c r="H20" s="462">
        <v>0</v>
      </c>
      <c r="I20" s="413"/>
      <c r="J20" s="463"/>
      <c r="K20" s="412">
        <v>28000</v>
      </c>
      <c r="L20" s="464"/>
      <c r="M20" s="465"/>
    </row>
    <row r="21" spans="1:13">
      <c r="A21" s="107" t="s">
        <v>39</v>
      </c>
      <c r="B21" s="108" t="s">
        <v>1</v>
      </c>
      <c r="C21" s="396" t="s">
        <v>82</v>
      </c>
      <c r="D21" s="397"/>
      <c r="E21" s="397"/>
      <c r="F21" s="398"/>
      <c r="G21" s="393"/>
      <c r="H21" s="394"/>
      <c r="I21" s="394"/>
      <c r="J21" s="394"/>
      <c r="K21" s="395"/>
      <c r="L21" s="415" t="s">
        <v>81</v>
      </c>
      <c r="M21" s="416"/>
    </row>
    <row r="22" spans="1:13" ht="12.75" customHeight="1">
      <c r="A22" s="440"/>
      <c r="B22" s="442"/>
      <c r="C22" s="457"/>
      <c r="D22" s="424"/>
      <c r="E22" s="424"/>
      <c r="F22" s="424"/>
      <c r="G22" s="424"/>
      <c r="H22" s="424"/>
      <c r="I22" s="424"/>
      <c r="J22" s="424"/>
      <c r="K22" s="425"/>
      <c r="L22" s="426"/>
      <c r="M22" s="427"/>
    </row>
    <row r="23" spans="1:13" ht="12.75" customHeight="1">
      <c r="A23" s="441"/>
      <c r="B23" s="443"/>
      <c r="C23" s="458"/>
      <c r="D23" s="429"/>
      <c r="E23" s="429"/>
      <c r="F23" s="429"/>
      <c r="G23" s="429"/>
      <c r="H23" s="429"/>
      <c r="I23" s="429"/>
      <c r="J23" s="429"/>
      <c r="K23" s="430"/>
      <c r="L23" s="426"/>
      <c r="M23" s="427"/>
    </row>
    <row r="24" spans="1:13">
      <c r="A24" s="110" t="s">
        <v>40</v>
      </c>
      <c r="B24" s="109"/>
      <c r="C24" s="32"/>
      <c r="D24" s="32"/>
      <c r="E24" s="32"/>
      <c r="F24" s="32"/>
      <c r="G24" s="32"/>
      <c r="H24" s="32"/>
      <c r="I24" s="32"/>
      <c r="J24" s="32"/>
      <c r="K24" s="32"/>
      <c r="L24" s="32"/>
      <c r="M24" s="70"/>
    </row>
    <row r="25" spans="1:13">
      <c r="A25" s="433"/>
      <c r="B25" s="434"/>
      <c r="C25" s="434"/>
      <c r="D25" s="434"/>
      <c r="E25" s="434"/>
      <c r="F25" s="434"/>
      <c r="G25" s="434"/>
      <c r="H25" s="434"/>
      <c r="I25" s="434"/>
      <c r="J25" s="434"/>
      <c r="K25" s="434"/>
      <c r="L25" s="434"/>
      <c r="M25" s="435"/>
    </row>
    <row r="26" spans="1:13">
      <c r="A26" s="436"/>
      <c r="B26" s="434"/>
      <c r="C26" s="434"/>
      <c r="D26" s="434"/>
      <c r="E26" s="434"/>
      <c r="F26" s="434"/>
      <c r="G26" s="434"/>
      <c r="H26" s="434"/>
      <c r="I26" s="434"/>
      <c r="J26" s="434"/>
      <c r="K26" s="434"/>
      <c r="L26" s="434"/>
      <c r="M26" s="435"/>
    </row>
    <row r="27" spans="1:13">
      <c r="A27" s="436"/>
      <c r="B27" s="434"/>
      <c r="C27" s="434"/>
      <c r="D27" s="434"/>
      <c r="E27" s="434"/>
      <c r="F27" s="434"/>
      <c r="G27" s="434"/>
      <c r="H27" s="434"/>
      <c r="I27" s="434"/>
      <c r="J27" s="434"/>
      <c r="K27" s="434"/>
      <c r="L27" s="434"/>
      <c r="M27" s="435"/>
    </row>
    <row r="28" spans="1:13">
      <c r="A28" s="437"/>
      <c r="B28" s="438"/>
      <c r="C28" s="438"/>
      <c r="D28" s="438"/>
      <c r="E28" s="438"/>
      <c r="F28" s="438"/>
      <c r="G28" s="438"/>
      <c r="H28" s="438"/>
      <c r="I28" s="438"/>
      <c r="J28" s="438"/>
      <c r="K28" s="438"/>
      <c r="L28" s="438"/>
      <c r="M28" s="439"/>
    </row>
    <row r="29" spans="1:13">
      <c r="A29" s="111" t="s">
        <v>41</v>
      </c>
      <c r="B29" s="420"/>
      <c r="C29" s="421"/>
      <c r="D29" s="421"/>
      <c r="E29" s="421"/>
      <c r="F29" s="421"/>
      <c r="G29" s="422"/>
      <c r="H29" s="408" t="s">
        <v>42</v>
      </c>
      <c r="I29" s="417"/>
      <c r="J29" s="418"/>
      <c r="K29" s="408" t="s">
        <v>43</v>
      </c>
      <c r="L29" s="417"/>
      <c r="M29" s="419"/>
    </row>
    <row r="30" spans="1:13" ht="13.8" thickBot="1">
      <c r="A30" s="466"/>
      <c r="B30" s="467"/>
      <c r="C30" s="467"/>
      <c r="D30" s="467"/>
      <c r="E30" s="467"/>
      <c r="F30" s="467"/>
      <c r="G30" s="468"/>
      <c r="H30" s="462"/>
      <c r="I30" s="413"/>
      <c r="J30" s="463"/>
      <c r="K30" s="412"/>
      <c r="L30" s="464"/>
      <c r="M30" s="465"/>
    </row>
    <row r="31" spans="1:13">
      <c r="A31" s="107" t="s">
        <v>39</v>
      </c>
      <c r="B31" s="108" t="s">
        <v>1</v>
      </c>
      <c r="C31" s="396" t="s">
        <v>82</v>
      </c>
      <c r="D31" s="397"/>
      <c r="E31" s="397"/>
      <c r="F31" s="398"/>
      <c r="G31" s="394"/>
      <c r="H31" s="394"/>
      <c r="I31" s="394"/>
      <c r="J31" s="394"/>
      <c r="K31" s="395"/>
      <c r="L31" s="415" t="s">
        <v>81</v>
      </c>
      <c r="M31" s="416"/>
    </row>
    <row r="32" spans="1:13" ht="12.75" customHeight="1">
      <c r="A32" s="440"/>
      <c r="B32" s="442"/>
      <c r="C32" s="423"/>
      <c r="D32" s="424"/>
      <c r="E32" s="424"/>
      <c r="F32" s="424"/>
      <c r="G32" s="424"/>
      <c r="H32" s="424"/>
      <c r="I32" s="424"/>
      <c r="J32" s="424"/>
      <c r="K32" s="425"/>
      <c r="L32" s="426"/>
      <c r="M32" s="427"/>
    </row>
    <row r="33" spans="1:13" ht="12.75" customHeight="1">
      <c r="A33" s="441"/>
      <c r="B33" s="443"/>
      <c r="C33" s="428"/>
      <c r="D33" s="429"/>
      <c r="E33" s="429"/>
      <c r="F33" s="429"/>
      <c r="G33" s="429"/>
      <c r="H33" s="429"/>
      <c r="I33" s="429"/>
      <c r="J33" s="429"/>
      <c r="K33" s="430"/>
      <c r="L33" s="426"/>
      <c r="M33" s="427"/>
    </row>
    <row r="34" spans="1:13" ht="12.75" customHeight="1">
      <c r="A34" s="110" t="s">
        <v>40</v>
      </c>
      <c r="B34" s="109"/>
      <c r="C34" s="32"/>
      <c r="D34" s="32"/>
      <c r="E34" s="32"/>
      <c r="F34" s="32"/>
      <c r="G34" s="32"/>
      <c r="H34" s="32"/>
      <c r="I34" s="32"/>
      <c r="J34" s="32"/>
      <c r="K34" s="32"/>
      <c r="L34" s="32"/>
      <c r="M34" s="70"/>
    </row>
    <row r="35" spans="1:13">
      <c r="A35" s="433"/>
      <c r="B35" s="434"/>
      <c r="C35" s="434"/>
      <c r="D35" s="434"/>
      <c r="E35" s="434"/>
      <c r="F35" s="434"/>
      <c r="G35" s="434"/>
      <c r="H35" s="434"/>
      <c r="I35" s="434"/>
      <c r="J35" s="434"/>
      <c r="K35" s="434"/>
      <c r="L35" s="434"/>
      <c r="M35" s="435"/>
    </row>
    <row r="36" spans="1:13">
      <c r="A36" s="436"/>
      <c r="B36" s="434"/>
      <c r="C36" s="434"/>
      <c r="D36" s="434"/>
      <c r="E36" s="434"/>
      <c r="F36" s="434"/>
      <c r="G36" s="434"/>
      <c r="H36" s="434"/>
      <c r="I36" s="434"/>
      <c r="J36" s="434"/>
      <c r="K36" s="434"/>
      <c r="L36" s="434"/>
      <c r="M36" s="435"/>
    </row>
    <row r="37" spans="1:13">
      <c r="A37" s="436"/>
      <c r="B37" s="434"/>
      <c r="C37" s="434"/>
      <c r="D37" s="434"/>
      <c r="E37" s="434"/>
      <c r="F37" s="434"/>
      <c r="G37" s="434"/>
      <c r="H37" s="434"/>
      <c r="I37" s="434"/>
      <c r="J37" s="434"/>
      <c r="K37" s="434"/>
      <c r="L37" s="434"/>
      <c r="M37" s="435"/>
    </row>
    <row r="38" spans="1:13">
      <c r="A38" s="437"/>
      <c r="B38" s="438"/>
      <c r="C38" s="438"/>
      <c r="D38" s="438"/>
      <c r="E38" s="438"/>
      <c r="F38" s="438"/>
      <c r="G38" s="438"/>
      <c r="H38" s="438"/>
      <c r="I38" s="438"/>
      <c r="J38" s="438"/>
      <c r="K38" s="438"/>
      <c r="L38" s="438"/>
      <c r="M38" s="439"/>
    </row>
    <row r="39" spans="1:13">
      <c r="A39" s="111" t="s">
        <v>41</v>
      </c>
      <c r="B39" s="420"/>
      <c r="C39" s="421"/>
      <c r="D39" s="421"/>
      <c r="E39" s="421"/>
      <c r="F39" s="421"/>
      <c r="G39" s="422"/>
      <c r="H39" s="408" t="s">
        <v>42</v>
      </c>
      <c r="I39" s="417"/>
      <c r="J39" s="418"/>
      <c r="K39" s="408" t="s">
        <v>43</v>
      </c>
      <c r="L39" s="417"/>
      <c r="M39" s="419"/>
    </row>
    <row r="40" spans="1:13" ht="13.8" thickBot="1">
      <c r="A40" s="466"/>
      <c r="B40" s="467"/>
      <c r="C40" s="467"/>
      <c r="D40" s="467"/>
      <c r="E40" s="467"/>
      <c r="F40" s="467"/>
      <c r="G40" s="468"/>
      <c r="H40" s="462"/>
      <c r="I40" s="413"/>
      <c r="J40" s="463"/>
      <c r="K40" s="412"/>
      <c r="L40" s="464"/>
      <c r="M40" s="465"/>
    </row>
    <row r="41" spans="1:13">
      <c r="A41" s="107" t="s">
        <v>39</v>
      </c>
      <c r="B41" s="108" t="s">
        <v>1</v>
      </c>
      <c r="C41" s="396" t="s">
        <v>82</v>
      </c>
      <c r="D41" s="397"/>
      <c r="E41" s="397"/>
      <c r="F41" s="398"/>
      <c r="G41" s="393"/>
      <c r="H41" s="394"/>
      <c r="I41" s="394"/>
      <c r="J41" s="394"/>
      <c r="K41" s="395"/>
      <c r="L41" s="415" t="s">
        <v>81</v>
      </c>
      <c r="M41" s="416"/>
    </row>
    <row r="42" spans="1:13" ht="12.75" customHeight="1">
      <c r="A42" s="440"/>
      <c r="B42" s="442"/>
      <c r="C42" s="423"/>
      <c r="D42" s="424"/>
      <c r="E42" s="424"/>
      <c r="F42" s="424"/>
      <c r="G42" s="424"/>
      <c r="H42" s="424"/>
      <c r="I42" s="424"/>
      <c r="J42" s="424"/>
      <c r="K42" s="425"/>
      <c r="L42" s="426"/>
      <c r="M42" s="427"/>
    </row>
    <row r="43" spans="1:13" ht="12.75" customHeight="1">
      <c r="A43" s="441"/>
      <c r="B43" s="443"/>
      <c r="C43" s="428"/>
      <c r="D43" s="429"/>
      <c r="E43" s="429"/>
      <c r="F43" s="429"/>
      <c r="G43" s="429"/>
      <c r="H43" s="429"/>
      <c r="I43" s="429"/>
      <c r="J43" s="429"/>
      <c r="K43" s="430"/>
      <c r="L43" s="426"/>
      <c r="M43" s="427"/>
    </row>
    <row r="44" spans="1:13" ht="12.75" customHeight="1">
      <c r="A44" s="110" t="s">
        <v>40</v>
      </c>
      <c r="B44" s="109"/>
      <c r="C44" s="32"/>
      <c r="D44" s="32"/>
      <c r="E44" s="32"/>
      <c r="F44" s="32"/>
      <c r="G44" s="32"/>
      <c r="H44" s="32"/>
      <c r="I44" s="32"/>
      <c r="J44" s="32"/>
      <c r="K44" s="32"/>
      <c r="L44" s="32"/>
      <c r="M44" s="70"/>
    </row>
    <row r="45" spans="1:13">
      <c r="A45" s="433"/>
      <c r="B45" s="434"/>
      <c r="C45" s="434"/>
      <c r="D45" s="434"/>
      <c r="E45" s="434"/>
      <c r="F45" s="434"/>
      <c r="G45" s="434"/>
      <c r="H45" s="434"/>
      <c r="I45" s="434"/>
      <c r="J45" s="434"/>
      <c r="K45" s="434"/>
      <c r="L45" s="434"/>
      <c r="M45" s="435"/>
    </row>
    <row r="46" spans="1:13">
      <c r="A46" s="436"/>
      <c r="B46" s="434"/>
      <c r="C46" s="434"/>
      <c r="D46" s="434"/>
      <c r="E46" s="434"/>
      <c r="F46" s="434"/>
      <c r="G46" s="434"/>
      <c r="H46" s="434"/>
      <c r="I46" s="434"/>
      <c r="J46" s="434"/>
      <c r="K46" s="434"/>
      <c r="L46" s="434"/>
      <c r="M46" s="435"/>
    </row>
    <row r="47" spans="1:13">
      <c r="A47" s="436"/>
      <c r="B47" s="434"/>
      <c r="C47" s="434"/>
      <c r="D47" s="434"/>
      <c r="E47" s="434"/>
      <c r="F47" s="434"/>
      <c r="G47" s="434"/>
      <c r="H47" s="434"/>
      <c r="I47" s="434"/>
      <c r="J47" s="434"/>
      <c r="K47" s="434"/>
      <c r="L47" s="434"/>
      <c r="M47" s="435"/>
    </row>
    <row r="48" spans="1:13">
      <c r="A48" s="437"/>
      <c r="B48" s="438"/>
      <c r="C48" s="438"/>
      <c r="D48" s="438"/>
      <c r="E48" s="438"/>
      <c r="F48" s="438"/>
      <c r="G48" s="438"/>
      <c r="H48" s="438"/>
      <c r="I48" s="438"/>
      <c r="J48" s="438"/>
      <c r="K48" s="438"/>
      <c r="L48" s="438"/>
      <c r="M48" s="439"/>
    </row>
    <row r="49" spans="1:13">
      <c r="A49" s="111" t="s">
        <v>41</v>
      </c>
      <c r="B49" s="420"/>
      <c r="C49" s="421"/>
      <c r="D49" s="421"/>
      <c r="E49" s="421"/>
      <c r="F49" s="421"/>
      <c r="G49" s="422"/>
      <c r="H49" s="408" t="s">
        <v>42</v>
      </c>
      <c r="I49" s="417"/>
      <c r="J49" s="418"/>
      <c r="K49" s="408" t="s">
        <v>43</v>
      </c>
      <c r="L49" s="417"/>
      <c r="M49" s="419"/>
    </row>
    <row r="50" spans="1:13" ht="13.8" thickBot="1">
      <c r="A50" s="459"/>
      <c r="B50" s="460"/>
      <c r="C50" s="460"/>
      <c r="D50" s="460"/>
      <c r="E50" s="460"/>
      <c r="F50" s="460"/>
      <c r="G50" s="461"/>
      <c r="H50" s="462"/>
      <c r="I50" s="413"/>
      <c r="J50" s="463"/>
      <c r="K50" s="412"/>
      <c r="L50" s="464"/>
      <c r="M50" s="465"/>
    </row>
    <row r="51" spans="1:13">
      <c r="A51" s="484" t="s">
        <v>44</v>
      </c>
      <c r="B51" s="431"/>
      <c r="C51" s="485"/>
      <c r="D51" s="486" t="s">
        <v>45</v>
      </c>
      <c r="E51" s="431"/>
      <c r="F51" s="485"/>
      <c r="G51" s="486" t="s">
        <v>46</v>
      </c>
      <c r="H51" s="431"/>
      <c r="I51" s="431"/>
      <c r="J51" s="485"/>
      <c r="K51" s="431" t="s">
        <v>125</v>
      </c>
      <c r="L51" s="431"/>
      <c r="M51" s="432"/>
    </row>
    <row r="52" spans="1:13">
      <c r="A52" s="469" t="str">
        <f>'Summary Sheet'!E67</f>
        <v>Vernon Lansford</v>
      </c>
      <c r="B52" s="470"/>
      <c r="C52" s="471"/>
      <c r="D52" s="475" t="str">
        <f>'Summary Sheet'!G67</f>
        <v>FEMA</v>
      </c>
      <c r="E52" s="470"/>
      <c r="F52" s="471"/>
      <c r="G52" s="475" t="str">
        <f>IF('Bosque Co'!G52=0,"",'Bosque Co'!G52)</f>
        <v/>
      </c>
      <c r="H52" s="470"/>
      <c r="I52" s="470"/>
      <c r="J52" s="471"/>
      <c r="K52" s="478" t="str">
        <f>'Summary Sheet'!I67</f>
        <v>225-910-5272</v>
      </c>
      <c r="L52" s="479"/>
      <c r="M52" s="480"/>
    </row>
    <row r="53" spans="1:13">
      <c r="A53" s="472"/>
      <c r="B53" s="473"/>
      <c r="C53" s="474"/>
      <c r="D53" s="476"/>
      <c r="E53" s="473"/>
      <c r="F53" s="474"/>
      <c r="G53" s="476"/>
      <c r="H53" s="473"/>
      <c r="I53" s="473"/>
      <c r="J53" s="474"/>
      <c r="K53" s="481"/>
      <c r="L53" s="482"/>
      <c r="M53" s="483"/>
    </row>
    <row r="54" spans="1:13" ht="13.8" thickBot="1">
      <c r="A54" s="38" t="s">
        <v>47</v>
      </c>
      <c r="B54" s="39"/>
      <c r="C54" s="40"/>
      <c r="D54" s="40"/>
      <c r="E54" s="40"/>
      <c r="F54" s="40"/>
      <c r="G54" s="410" t="s">
        <v>119</v>
      </c>
      <c r="H54" s="410"/>
      <c r="I54" s="410"/>
      <c r="J54" s="411"/>
      <c r="K54" s="412">
        <f>+K20+K30+K40+K50</f>
        <v>28000</v>
      </c>
      <c r="L54" s="413"/>
      <c r="M54" s="414"/>
    </row>
    <row r="55" spans="1:13" ht="2.25" customHeight="1"/>
    <row r="56" spans="1:13">
      <c r="A56" s="33" t="s">
        <v>64</v>
      </c>
      <c r="D56" s="34" t="s">
        <v>70</v>
      </c>
      <c r="G56" s="33" t="s">
        <v>75</v>
      </c>
      <c r="K56" s="71" t="s">
        <v>104</v>
      </c>
    </row>
    <row r="57" spans="1:13">
      <c r="A57" s="33" t="s">
        <v>78</v>
      </c>
      <c r="D57" s="33" t="s">
        <v>69</v>
      </c>
      <c r="G57" s="33" t="s">
        <v>76</v>
      </c>
      <c r="K57" s="71" t="s">
        <v>105</v>
      </c>
    </row>
    <row r="58" spans="1:13">
      <c r="A58" s="33" t="s">
        <v>79</v>
      </c>
      <c r="D58" s="33" t="s">
        <v>71</v>
      </c>
      <c r="G58" s="33" t="s">
        <v>77</v>
      </c>
      <c r="K58" s="71" t="s">
        <v>106</v>
      </c>
    </row>
    <row r="59" spans="1:13">
      <c r="A59" s="33" t="s">
        <v>65</v>
      </c>
      <c r="D59" s="34" t="s">
        <v>84</v>
      </c>
      <c r="E59" s="35"/>
      <c r="F59" s="35"/>
      <c r="G59" s="33" t="s">
        <v>72</v>
      </c>
      <c r="K59" s="71" t="s">
        <v>109</v>
      </c>
    </row>
    <row r="60" spans="1:13">
      <c r="A60" s="33" t="s">
        <v>66</v>
      </c>
      <c r="D60" s="34" t="s">
        <v>85</v>
      </c>
      <c r="G60" s="71" t="s">
        <v>107</v>
      </c>
      <c r="K60" s="71" t="s">
        <v>110</v>
      </c>
    </row>
    <row r="61" spans="1:13">
      <c r="A61" s="33" t="s">
        <v>67</v>
      </c>
      <c r="D61" s="33" t="s">
        <v>73</v>
      </c>
      <c r="G61" s="71" t="s">
        <v>108</v>
      </c>
      <c r="K61" s="71" t="s">
        <v>111</v>
      </c>
    </row>
    <row r="62" spans="1:13">
      <c r="A62" s="33" t="s">
        <v>68</v>
      </c>
      <c r="D62" s="33" t="s">
        <v>74</v>
      </c>
      <c r="G62" s="71" t="s">
        <v>103</v>
      </c>
      <c r="K62" s="71" t="s">
        <v>112</v>
      </c>
    </row>
  </sheetData>
  <mergeCells count="89">
    <mergeCell ref="G54:J54"/>
    <mergeCell ref="K54:M54"/>
    <mergeCell ref="A51:C51"/>
    <mergeCell ref="D51:F51"/>
    <mergeCell ref="G51:J51"/>
    <mergeCell ref="K51:M51"/>
    <mergeCell ref="A52:C53"/>
    <mergeCell ref="D52:F53"/>
    <mergeCell ref="G52:J53"/>
    <mergeCell ref="K52:M53"/>
    <mergeCell ref="A45:M48"/>
    <mergeCell ref="B49:G49"/>
    <mergeCell ref="H49:J49"/>
    <mergeCell ref="K49:M49"/>
    <mergeCell ref="A50:G50"/>
    <mergeCell ref="H50:J50"/>
    <mergeCell ref="K50:M50"/>
    <mergeCell ref="C41:F41"/>
    <mergeCell ref="G41:K41"/>
    <mergeCell ref="L41:M41"/>
    <mergeCell ref="A42:A43"/>
    <mergeCell ref="B42:B43"/>
    <mergeCell ref="C42:K42"/>
    <mergeCell ref="L42:M42"/>
    <mergeCell ref="C43:K43"/>
    <mergeCell ref="L43:M43"/>
    <mergeCell ref="A35:M38"/>
    <mergeCell ref="B39:G39"/>
    <mergeCell ref="H39:J39"/>
    <mergeCell ref="K39:M39"/>
    <mergeCell ref="A40:G40"/>
    <mergeCell ref="H40:J40"/>
    <mergeCell ref="K40:M40"/>
    <mergeCell ref="C31:F31"/>
    <mergeCell ref="G31:K31"/>
    <mergeCell ref="L31:M31"/>
    <mergeCell ref="A32:A33"/>
    <mergeCell ref="B32:B33"/>
    <mergeCell ref="C32:K32"/>
    <mergeCell ref="L32:M32"/>
    <mergeCell ref="C33:K33"/>
    <mergeCell ref="L33:M33"/>
    <mergeCell ref="A25:M28"/>
    <mergeCell ref="B29:G29"/>
    <mergeCell ref="H29:J29"/>
    <mergeCell ref="K29:M29"/>
    <mergeCell ref="A30:G30"/>
    <mergeCell ref="H30:J30"/>
    <mergeCell ref="K30:M30"/>
    <mergeCell ref="C21:F21"/>
    <mergeCell ref="G21:K21"/>
    <mergeCell ref="L21:M21"/>
    <mergeCell ref="A22:A23"/>
    <mergeCell ref="B22:B23"/>
    <mergeCell ref="C22:K22"/>
    <mergeCell ref="L22:M22"/>
    <mergeCell ref="C23:K23"/>
    <mergeCell ref="L23:M23"/>
    <mergeCell ref="A15:M18"/>
    <mergeCell ref="B19:G19"/>
    <mergeCell ref="H19:J19"/>
    <mergeCell ref="K19:M19"/>
    <mergeCell ref="A20:G20"/>
    <mergeCell ref="H20:J20"/>
    <mergeCell ref="K20:M20"/>
    <mergeCell ref="C11:F11"/>
    <mergeCell ref="G11:K11"/>
    <mergeCell ref="L11:M11"/>
    <mergeCell ref="A12:A13"/>
    <mergeCell ref="B12:B13"/>
    <mergeCell ref="C12:K12"/>
    <mergeCell ref="L12:M12"/>
    <mergeCell ref="C13:K13"/>
    <mergeCell ref="L13:M13"/>
    <mergeCell ref="A7:L7"/>
    <mergeCell ref="A1:K1"/>
    <mergeCell ref="L1:M1"/>
    <mergeCell ref="A2:K2"/>
    <mergeCell ref="L2:M2"/>
    <mergeCell ref="A3:M3"/>
    <mergeCell ref="A4:B4"/>
    <mergeCell ref="C4:F4"/>
    <mergeCell ref="G4:K4"/>
    <mergeCell ref="L4:M4"/>
    <mergeCell ref="A5:B5"/>
    <mergeCell ref="C5:F5"/>
    <mergeCell ref="G5:K5"/>
    <mergeCell ref="L5:M5"/>
    <mergeCell ref="A6:M6"/>
  </mergeCells>
  <pageMargins left="0.5" right="0.5" top="0.5" bottom="0.25" header="0" footer="0.25"/>
  <pageSetup scale="94" orientation="portrait" r:id="rId1"/>
  <headerFooter alignWithMargins="0">
    <oddFooter>&amp;L&amp;8&amp;F  &amp;D&amp;C&amp;12 2</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pageSetUpPr fitToPage="1"/>
  </sheetPr>
  <dimension ref="A1:P62"/>
  <sheetViews>
    <sheetView zoomScale="85" zoomScaleNormal="85" workbookViewId="0">
      <selection activeCell="A62" sqref="A62"/>
    </sheetView>
  </sheetViews>
  <sheetFormatPr defaultRowHeight="13.2"/>
  <cols>
    <col min="8" max="8" width="5.5546875" customWidth="1"/>
    <col min="9" max="9" width="5.6640625" customWidth="1"/>
    <col min="10" max="10" width="3.6640625" customWidth="1"/>
    <col min="11" max="11" width="7.109375" customWidth="1"/>
  </cols>
  <sheetData>
    <row r="1" spans="1:13">
      <c r="A1" s="387" t="s">
        <v>23</v>
      </c>
      <c r="B1" s="388"/>
      <c r="C1" s="388"/>
      <c r="D1" s="388"/>
      <c r="E1" s="388"/>
      <c r="F1" s="388"/>
      <c r="G1" s="388"/>
      <c r="H1" s="388"/>
      <c r="I1" s="388"/>
      <c r="J1" s="388"/>
      <c r="K1" s="389"/>
      <c r="L1" s="406" t="s">
        <v>24</v>
      </c>
      <c r="M1" s="407"/>
    </row>
    <row r="2" spans="1:13">
      <c r="A2" s="390" t="s">
        <v>25</v>
      </c>
      <c r="B2" s="391"/>
      <c r="C2" s="391"/>
      <c r="D2" s="391"/>
      <c r="E2" s="391"/>
      <c r="F2" s="391"/>
      <c r="G2" s="391"/>
      <c r="H2" s="391"/>
      <c r="I2" s="391"/>
      <c r="J2" s="391"/>
      <c r="K2" s="392"/>
      <c r="L2" s="404">
        <v>42557</v>
      </c>
      <c r="M2" s="405"/>
    </row>
    <row r="3" spans="1:13">
      <c r="A3" s="401" t="s">
        <v>26</v>
      </c>
      <c r="B3" s="402"/>
      <c r="C3" s="402"/>
      <c r="D3" s="402"/>
      <c r="E3" s="402"/>
      <c r="F3" s="402"/>
      <c r="G3" s="402"/>
      <c r="H3" s="402"/>
      <c r="I3" s="402"/>
      <c r="J3" s="402"/>
      <c r="K3" s="402"/>
      <c r="L3" s="402"/>
      <c r="M3" s="403"/>
    </row>
    <row r="4" spans="1:13">
      <c r="A4" s="451" t="s">
        <v>27</v>
      </c>
      <c r="B4" s="452"/>
      <c r="C4" s="408" t="s">
        <v>28</v>
      </c>
      <c r="D4" s="409"/>
      <c r="E4" s="409"/>
      <c r="F4" s="452"/>
      <c r="G4" s="408" t="s">
        <v>29</v>
      </c>
      <c r="H4" s="409"/>
      <c r="I4" s="409"/>
      <c r="J4" s="409"/>
      <c r="K4" s="409"/>
      <c r="L4" s="444" t="s">
        <v>83</v>
      </c>
      <c r="M4" s="445"/>
    </row>
    <row r="5" spans="1:13">
      <c r="A5" s="453" t="s">
        <v>2871</v>
      </c>
      <c r="B5" s="454"/>
      <c r="C5" s="455" t="s">
        <v>2875</v>
      </c>
      <c r="D5" s="456"/>
      <c r="E5" s="456"/>
      <c r="F5" s="454"/>
      <c r="G5" s="448" t="s">
        <v>2876</v>
      </c>
      <c r="H5" s="449"/>
      <c r="I5" s="449"/>
      <c r="J5" s="449"/>
      <c r="K5" s="450"/>
      <c r="L5" s="446" t="s">
        <v>2877</v>
      </c>
      <c r="M5" s="447"/>
    </row>
    <row r="6" spans="1:13">
      <c r="A6" s="401" t="s">
        <v>30</v>
      </c>
      <c r="B6" s="402"/>
      <c r="C6" s="402"/>
      <c r="D6" s="402"/>
      <c r="E6" s="402"/>
      <c r="F6" s="402"/>
      <c r="G6" s="402"/>
      <c r="H6" s="402"/>
      <c r="I6" s="402"/>
      <c r="J6" s="402"/>
      <c r="K6" s="402"/>
      <c r="L6" s="402"/>
      <c r="M6" s="403"/>
    </row>
    <row r="7" spans="1:13">
      <c r="A7" s="399" t="s">
        <v>31</v>
      </c>
      <c r="B7" s="400"/>
      <c r="C7" s="400"/>
      <c r="D7" s="400"/>
      <c r="E7" s="400"/>
      <c r="F7" s="400"/>
      <c r="G7" s="400"/>
      <c r="H7" s="400"/>
      <c r="I7" s="400"/>
      <c r="J7" s="400"/>
      <c r="K7" s="400"/>
      <c r="L7" s="400"/>
      <c r="M7" s="100"/>
    </row>
    <row r="8" spans="1:13">
      <c r="A8" s="101" t="s">
        <v>18</v>
      </c>
      <c r="B8" s="99" t="s">
        <v>32</v>
      </c>
      <c r="C8" s="99"/>
      <c r="D8" s="102"/>
      <c r="E8" s="99" t="s">
        <v>33</v>
      </c>
      <c r="F8" s="99"/>
      <c r="G8" s="99"/>
      <c r="H8" s="99"/>
      <c r="I8" s="99" t="s">
        <v>34</v>
      </c>
      <c r="J8" s="99"/>
      <c r="K8" s="99"/>
      <c r="L8" s="99"/>
      <c r="M8" s="100"/>
    </row>
    <row r="9" spans="1:13">
      <c r="A9" s="101"/>
      <c r="B9" s="99" t="s">
        <v>35</v>
      </c>
      <c r="C9" s="99"/>
      <c r="D9" s="99"/>
      <c r="E9" s="99" t="s">
        <v>36</v>
      </c>
      <c r="F9" s="99"/>
      <c r="G9" s="102"/>
      <c r="H9" s="102"/>
      <c r="I9" s="102"/>
      <c r="J9" s="102"/>
      <c r="K9" s="102"/>
      <c r="L9" s="102"/>
      <c r="M9" s="100"/>
    </row>
    <row r="10" spans="1:13" ht="13.8" thickBot="1">
      <c r="A10" s="103"/>
      <c r="B10" s="104" t="s">
        <v>37</v>
      </c>
      <c r="C10" s="104"/>
      <c r="D10" s="104"/>
      <c r="E10" s="104" t="s">
        <v>38</v>
      </c>
      <c r="F10" s="104"/>
      <c r="G10" s="105"/>
      <c r="H10" s="105"/>
      <c r="I10" s="105"/>
      <c r="J10" s="105"/>
      <c r="K10" s="105"/>
      <c r="L10" s="105"/>
      <c r="M10" s="106"/>
    </row>
    <row r="11" spans="1:13">
      <c r="A11" s="107" t="s">
        <v>39</v>
      </c>
      <c r="B11" s="108" t="s">
        <v>1</v>
      </c>
      <c r="C11" s="396" t="s">
        <v>82</v>
      </c>
      <c r="D11" s="397"/>
      <c r="E11" s="397"/>
      <c r="F11" s="398"/>
      <c r="G11" s="393" t="s">
        <v>2889</v>
      </c>
      <c r="H11" s="394"/>
      <c r="I11" s="394"/>
      <c r="J11" s="394"/>
      <c r="K11" s="395"/>
      <c r="L11" s="415" t="s">
        <v>81</v>
      </c>
      <c r="M11" s="416"/>
    </row>
    <row r="12" spans="1:13">
      <c r="A12" s="440">
        <v>1</v>
      </c>
      <c r="B12" s="442" t="s">
        <v>4</v>
      </c>
      <c r="C12" s="457"/>
      <c r="D12" s="424"/>
      <c r="E12" s="424"/>
      <c r="F12" s="424"/>
      <c r="G12" s="424"/>
      <c r="H12" s="424"/>
      <c r="I12" s="424"/>
      <c r="J12" s="424"/>
      <c r="K12" s="425"/>
      <c r="L12" s="426">
        <v>31.775870000000001</v>
      </c>
      <c r="M12" s="427"/>
    </row>
    <row r="13" spans="1:13">
      <c r="A13" s="441"/>
      <c r="B13" s="443"/>
      <c r="C13" s="458"/>
      <c r="D13" s="429"/>
      <c r="E13" s="429"/>
      <c r="F13" s="429"/>
      <c r="G13" s="429"/>
      <c r="H13" s="429"/>
      <c r="I13" s="429"/>
      <c r="J13" s="429"/>
      <c r="K13" s="430"/>
      <c r="L13" s="426">
        <v>-97.597480000000004</v>
      </c>
      <c r="M13" s="427"/>
    </row>
    <row r="14" spans="1:13">
      <c r="A14" s="110" t="s">
        <v>40</v>
      </c>
      <c r="B14" s="109"/>
      <c r="C14" s="32"/>
      <c r="D14" s="32"/>
      <c r="E14" s="32"/>
      <c r="F14" s="32"/>
      <c r="G14" s="32"/>
      <c r="H14" s="32"/>
      <c r="I14" s="32"/>
      <c r="J14" s="32"/>
      <c r="K14" s="32"/>
      <c r="L14" s="32"/>
      <c r="M14" s="70"/>
    </row>
    <row r="15" spans="1:13">
      <c r="A15" s="433" t="s">
        <v>2898</v>
      </c>
      <c r="B15" s="434"/>
      <c r="C15" s="434"/>
      <c r="D15" s="434"/>
      <c r="E15" s="434"/>
      <c r="F15" s="434"/>
      <c r="G15" s="434"/>
      <c r="H15" s="434"/>
      <c r="I15" s="434"/>
      <c r="J15" s="434"/>
      <c r="K15" s="434"/>
      <c r="L15" s="434"/>
      <c r="M15" s="435"/>
    </row>
    <row r="16" spans="1:13">
      <c r="A16" s="436"/>
      <c r="B16" s="434"/>
      <c r="C16" s="434"/>
      <c r="D16" s="434"/>
      <c r="E16" s="434"/>
      <c r="F16" s="434"/>
      <c r="G16" s="434"/>
      <c r="H16" s="434"/>
      <c r="I16" s="434"/>
      <c r="J16" s="434"/>
      <c r="K16" s="434"/>
      <c r="L16" s="434"/>
      <c r="M16" s="435"/>
    </row>
    <row r="17" spans="1:16">
      <c r="A17" s="436"/>
      <c r="B17" s="434"/>
      <c r="C17" s="434"/>
      <c r="D17" s="434"/>
      <c r="E17" s="434"/>
      <c r="F17" s="434"/>
      <c r="G17" s="434"/>
      <c r="H17" s="434"/>
      <c r="I17" s="434"/>
      <c r="J17" s="434"/>
      <c r="K17" s="434"/>
      <c r="L17" s="434"/>
      <c r="M17" s="435"/>
    </row>
    <row r="18" spans="1:16" ht="26.25" customHeight="1">
      <c r="A18" s="437"/>
      <c r="B18" s="438"/>
      <c r="C18" s="438"/>
      <c r="D18" s="438"/>
      <c r="E18" s="438"/>
      <c r="F18" s="438"/>
      <c r="G18" s="438"/>
      <c r="H18" s="438"/>
      <c r="I18" s="438"/>
      <c r="J18" s="438"/>
      <c r="K18" s="438"/>
      <c r="L18" s="438"/>
      <c r="M18" s="439"/>
    </row>
    <row r="19" spans="1:16">
      <c r="A19" s="111" t="s">
        <v>41</v>
      </c>
      <c r="B19" s="420" t="s">
        <v>2899</v>
      </c>
      <c r="C19" s="421"/>
      <c r="D19" s="421"/>
      <c r="E19" s="421"/>
      <c r="F19" s="421"/>
      <c r="G19" s="422"/>
      <c r="H19" s="408" t="s">
        <v>42</v>
      </c>
      <c r="I19" s="417"/>
      <c r="J19" s="418"/>
      <c r="K19" s="408" t="s">
        <v>43</v>
      </c>
      <c r="L19" s="417"/>
      <c r="M19" s="419"/>
    </row>
    <row r="20" spans="1:16" ht="13.8" thickBot="1">
      <c r="A20" s="459"/>
      <c r="B20" s="460"/>
      <c r="C20" s="460"/>
      <c r="D20" s="460"/>
      <c r="E20" s="460"/>
      <c r="F20" s="460"/>
      <c r="G20" s="461"/>
      <c r="H20" s="462">
        <v>0</v>
      </c>
      <c r="I20" s="413"/>
      <c r="J20" s="463"/>
      <c r="K20" s="412">
        <v>28435</v>
      </c>
      <c r="L20" s="464"/>
      <c r="M20" s="465"/>
    </row>
    <row r="21" spans="1:16">
      <c r="A21" s="107" t="s">
        <v>39</v>
      </c>
      <c r="B21" s="108" t="s">
        <v>1</v>
      </c>
      <c r="C21" s="396" t="s">
        <v>82</v>
      </c>
      <c r="D21" s="397"/>
      <c r="E21" s="397"/>
      <c r="F21" s="398"/>
      <c r="G21" s="393" t="s">
        <v>2878</v>
      </c>
      <c r="H21" s="394"/>
      <c r="I21" s="394"/>
      <c r="J21" s="394"/>
      <c r="K21" s="395"/>
      <c r="L21" s="415" t="s">
        <v>81</v>
      </c>
      <c r="M21" s="416"/>
    </row>
    <row r="22" spans="1:16" ht="12.75" customHeight="1">
      <c r="A22" s="440">
        <v>2</v>
      </c>
      <c r="B22" s="442" t="s">
        <v>4</v>
      </c>
      <c r="C22" s="457"/>
      <c r="D22" s="424"/>
      <c r="E22" s="424"/>
      <c r="F22" s="424"/>
      <c r="G22" s="424"/>
      <c r="H22" s="424"/>
      <c r="I22" s="424"/>
      <c r="J22" s="424"/>
      <c r="K22" s="425"/>
      <c r="L22" s="426">
        <v>31.776340000000001</v>
      </c>
      <c r="M22" s="427"/>
    </row>
    <row r="23" spans="1:16" ht="12.75" customHeight="1">
      <c r="A23" s="441"/>
      <c r="B23" s="443"/>
      <c r="C23" s="458"/>
      <c r="D23" s="429"/>
      <c r="E23" s="429"/>
      <c r="F23" s="429"/>
      <c r="G23" s="429"/>
      <c r="H23" s="429"/>
      <c r="I23" s="429"/>
      <c r="J23" s="429"/>
      <c r="K23" s="430"/>
      <c r="L23" s="426">
        <v>-97.596440000000001</v>
      </c>
      <c r="M23" s="427"/>
    </row>
    <row r="24" spans="1:16">
      <c r="A24" s="110" t="s">
        <v>40</v>
      </c>
      <c r="B24" s="109"/>
      <c r="C24" s="32"/>
      <c r="D24" s="32"/>
      <c r="E24" s="32"/>
      <c r="F24" s="32"/>
      <c r="G24" s="32"/>
      <c r="H24" s="32"/>
      <c r="I24" s="32"/>
      <c r="J24" s="32"/>
      <c r="K24" s="32"/>
      <c r="L24" s="32"/>
      <c r="M24" s="70"/>
    </row>
    <row r="25" spans="1:16">
      <c r="A25" s="433" t="s">
        <v>2898</v>
      </c>
      <c r="B25" s="434"/>
      <c r="C25" s="434"/>
      <c r="D25" s="434"/>
      <c r="E25" s="434"/>
      <c r="F25" s="434"/>
      <c r="G25" s="434"/>
      <c r="H25" s="434"/>
      <c r="I25" s="434"/>
      <c r="J25" s="434"/>
      <c r="K25" s="434"/>
      <c r="L25" s="434"/>
      <c r="M25" s="435"/>
    </row>
    <row r="26" spans="1:16">
      <c r="A26" s="436"/>
      <c r="B26" s="434"/>
      <c r="C26" s="434"/>
      <c r="D26" s="434"/>
      <c r="E26" s="434"/>
      <c r="F26" s="434"/>
      <c r="G26" s="434"/>
      <c r="H26" s="434"/>
      <c r="I26" s="434"/>
      <c r="J26" s="434"/>
      <c r="K26" s="434"/>
      <c r="L26" s="434"/>
      <c r="M26" s="435"/>
    </row>
    <row r="27" spans="1:16">
      <c r="A27" s="436"/>
      <c r="B27" s="434"/>
      <c r="C27" s="434"/>
      <c r="D27" s="434"/>
      <c r="E27" s="434"/>
      <c r="F27" s="434"/>
      <c r="G27" s="434"/>
      <c r="H27" s="434"/>
      <c r="I27" s="434"/>
      <c r="J27" s="434"/>
      <c r="K27" s="434"/>
      <c r="L27" s="434"/>
      <c r="M27" s="435"/>
    </row>
    <row r="28" spans="1:16">
      <c r="A28" s="437"/>
      <c r="B28" s="438"/>
      <c r="C28" s="438"/>
      <c r="D28" s="438"/>
      <c r="E28" s="438"/>
      <c r="F28" s="438"/>
      <c r="G28" s="438"/>
      <c r="H28" s="438"/>
      <c r="I28" s="438"/>
      <c r="J28" s="438"/>
      <c r="K28" s="438"/>
      <c r="L28" s="438"/>
      <c r="M28" s="439"/>
    </row>
    <row r="29" spans="1:16">
      <c r="A29" s="111" t="s">
        <v>41</v>
      </c>
      <c r="B29" s="420" t="s">
        <v>2900</v>
      </c>
      <c r="C29" s="421"/>
      <c r="D29" s="421"/>
      <c r="E29" s="421"/>
      <c r="F29" s="421"/>
      <c r="G29" s="422"/>
      <c r="H29" s="408" t="s">
        <v>42</v>
      </c>
      <c r="I29" s="417"/>
      <c r="J29" s="418"/>
      <c r="K29" s="408" t="s">
        <v>43</v>
      </c>
      <c r="L29" s="417"/>
      <c r="M29" s="419"/>
    </row>
    <row r="30" spans="1:16" ht="13.8" thickBot="1">
      <c r="A30" s="466"/>
      <c r="B30" s="467"/>
      <c r="C30" s="467"/>
      <c r="D30" s="467"/>
      <c r="E30" s="467"/>
      <c r="F30" s="467"/>
      <c r="G30" s="468"/>
      <c r="H30" s="462">
        <v>0</v>
      </c>
      <c r="I30" s="413"/>
      <c r="J30" s="463"/>
      <c r="K30" s="412">
        <v>32500</v>
      </c>
      <c r="L30" s="464"/>
      <c r="M30" s="465"/>
      <c r="O30">
        <f>3500/700</f>
        <v>5</v>
      </c>
      <c r="P30">
        <f>O30*(7200-700)</f>
        <v>32500</v>
      </c>
    </row>
    <row r="31" spans="1:16">
      <c r="A31" s="107" t="s">
        <v>39</v>
      </c>
      <c r="B31" s="108" t="s">
        <v>1</v>
      </c>
      <c r="C31" s="396" t="s">
        <v>82</v>
      </c>
      <c r="D31" s="397"/>
      <c r="E31" s="397"/>
      <c r="F31" s="398"/>
      <c r="G31" s="394" t="s">
        <v>2890</v>
      </c>
      <c r="H31" s="394"/>
      <c r="I31" s="394"/>
      <c r="J31" s="394"/>
      <c r="K31" s="395"/>
      <c r="L31" s="415" t="s">
        <v>81</v>
      </c>
      <c r="M31" s="416"/>
    </row>
    <row r="32" spans="1:16" ht="12.75" customHeight="1">
      <c r="A32" s="440">
        <v>3</v>
      </c>
      <c r="B32" s="442" t="s">
        <v>4</v>
      </c>
      <c r="C32" s="423"/>
      <c r="D32" s="424"/>
      <c r="E32" s="424"/>
      <c r="F32" s="424"/>
      <c r="G32" s="424"/>
      <c r="H32" s="424"/>
      <c r="I32" s="424"/>
      <c r="J32" s="424"/>
      <c r="K32" s="425"/>
      <c r="L32" s="426">
        <v>31.775829999999999</v>
      </c>
      <c r="M32" s="427"/>
    </row>
    <row r="33" spans="1:13" ht="12.75" customHeight="1">
      <c r="A33" s="441"/>
      <c r="B33" s="443"/>
      <c r="C33" s="428"/>
      <c r="D33" s="429"/>
      <c r="E33" s="429"/>
      <c r="F33" s="429"/>
      <c r="G33" s="429"/>
      <c r="H33" s="429"/>
      <c r="I33" s="429"/>
      <c r="J33" s="429"/>
      <c r="K33" s="430"/>
      <c r="L33" s="426">
        <v>-97.581940000000003</v>
      </c>
      <c r="M33" s="427"/>
    </row>
    <row r="34" spans="1:13" ht="12.75" customHeight="1">
      <c r="A34" s="110" t="s">
        <v>40</v>
      </c>
      <c r="B34" s="109"/>
      <c r="C34" s="32"/>
      <c r="D34" s="32"/>
      <c r="E34" s="32"/>
      <c r="F34" s="32"/>
      <c r="G34" s="32"/>
      <c r="H34" s="32"/>
      <c r="I34" s="32"/>
      <c r="J34" s="32"/>
      <c r="K34" s="32"/>
      <c r="L34" s="32"/>
      <c r="M34" s="70"/>
    </row>
    <row r="35" spans="1:13">
      <c r="A35" s="433" t="s">
        <v>2898</v>
      </c>
      <c r="B35" s="434"/>
      <c r="C35" s="434"/>
      <c r="D35" s="434"/>
      <c r="E35" s="434"/>
      <c r="F35" s="434"/>
      <c r="G35" s="434"/>
      <c r="H35" s="434"/>
      <c r="I35" s="434"/>
      <c r="J35" s="434"/>
      <c r="K35" s="434"/>
      <c r="L35" s="434"/>
      <c r="M35" s="435"/>
    </row>
    <row r="36" spans="1:13">
      <c r="A36" s="436"/>
      <c r="B36" s="434"/>
      <c r="C36" s="434"/>
      <c r="D36" s="434"/>
      <c r="E36" s="434"/>
      <c r="F36" s="434"/>
      <c r="G36" s="434"/>
      <c r="H36" s="434"/>
      <c r="I36" s="434"/>
      <c r="J36" s="434"/>
      <c r="K36" s="434"/>
      <c r="L36" s="434"/>
      <c r="M36" s="435"/>
    </row>
    <row r="37" spans="1:13">
      <c r="A37" s="436"/>
      <c r="B37" s="434"/>
      <c r="C37" s="434"/>
      <c r="D37" s="434"/>
      <c r="E37" s="434"/>
      <c r="F37" s="434"/>
      <c r="G37" s="434"/>
      <c r="H37" s="434"/>
      <c r="I37" s="434"/>
      <c r="J37" s="434"/>
      <c r="K37" s="434"/>
      <c r="L37" s="434"/>
      <c r="M37" s="435"/>
    </row>
    <row r="38" spans="1:13">
      <c r="A38" s="437"/>
      <c r="B38" s="438"/>
      <c r="C38" s="438"/>
      <c r="D38" s="438"/>
      <c r="E38" s="438"/>
      <c r="F38" s="438"/>
      <c r="G38" s="438"/>
      <c r="H38" s="438"/>
      <c r="I38" s="438"/>
      <c r="J38" s="438"/>
      <c r="K38" s="438"/>
      <c r="L38" s="438"/>
      <c r="M38" s="439"/>
    </row>
    <row r="39" spans="1:13">
      <c r="A39" s="111" t="s">
        <v>41</v>
      </c>
      <c r="B39" s="420" t="s">
        <v>2900</v>
      </c>
      <c r="C39" s="421"/>
      <c r="D39" s="421"/>
      <c r="E39" s="421"/>
      <c r="F39" s="421"/>
      <c r="G39" s="422"/>
      <c r="H39" s="408" t="s">
        <v>42</v>
      </c>
      <c r="I39" s="417"/>
      <c r="J39" s="418"/>
      <c r="K39" s="408" t="s">
        <v>43</v>
      </c>
      <c r="L39" s="417"/>
      <c r="M39" s="419"/>
    </row>
    <row r="40" spans="1:13" ht="13.8" thickBot="1">
      <c r="A40" s="466"/>
      <c r="B40" s="467"/>
      <c r="C40" s="467"/>
      <c r="D40" s="467"/>
      <c r="E40" s="467"/>
      <c r="F40" s="467"/>
      <c r="G40" s="468"/>
      <c r="H40" s="462">
        <v>0</v>
      </c>
      <c r="I40" s="413"/>
      <c r="J40" s="463"/>
      <c r="K40" s="412">
        <f>17365-14875</f>
        <v>2490</v>
      </c>
      <c r="L40" s="464"/>
      <c r="M40" s="465"/>
    </row>
    <row r="41" spans="1:13">
      <c r="A41" s="107" t="s">
        <v>39</v>
      </c>
      <c r="B41" s="108" t="s">
        <v>1</v>
      </c>
      <c r="C41" s="396" t="s">
        <v>82</v>
      </c>
      <c r="D41" s="397"/>
      <c r="E41" s="397"/>
      <c r="F41" s="398"/>
      <c r="G41" s="394" t="s">
        <v>2891</v>
      </c>
      <c r="H41" s="394"/>
      <c r="I41" s="394"/>
      <c r="J41" s="394"/>
      <c r="K41" s="395"/>
      <c r="L41" s="415" t="s">
        <v>81</v>
      </c>
      <c r="M41" s="416"/>
    </row>
    <row r="42" spans="1:13" ht="12.75" customHeight="1">
      <c r="A42" s="440">
        <v>4</v>
      </c>
      <c r="B42" s="442" t="s">
        <v>4</v>
      </c>
      <c r="C42" s="423"/>
      <c r="D42" s="424"/>
      <c r="E42" s="424"/>
      <c r="F42" s="424"/>
      <c r="G42" s="424"/>
      <c r="H42" s="424"/>
      <c r="I42" s="424"/>
      <c r="J42" s="424"/>
      <c r="K42" s="425"/>
      <c r="L42" s="426">
        <v>31.77139</v>
      </c>
      <c r="M42" s="427"/>
    </row>
    <row r="43" spans="1:13" ht="12.75" customHeight="1">
      <c r="A43" s="441"/>
      <c r="B43" s="443"/>
      <c r="C43" s="428"/>
      <c r="D43" s="429"/>
      <c r="E43" s="429"/>
      <c r="F43" s="429"/>
      <c r="G43" s="429"/>
      <c r="H43" s="429"/>
      <c r="I43" s="429"/>
      <c r="J43" s="429"/>
      <c r="K43" s="430"/>
      <c r="L43" s="426">
        <v>-97.580560000000006</v>
      </c>
      <c r="M43" s="427"/>
    </row>
    <row r="44" spans="1:13" ht="12.75" customHeight="1">
      <c r="A44" s="110" t="s">
        <v>40</v>
      </c>
      <c r="B44" s="109"/>
      <c r="C44" s="32"/>
      <c r="D44" s="32"/>
      <c r="E44" s="32"/>
      <c r="F44" s="32"/>
      <c r="G44" s="32"/>
      <c r="H44" s="32"/>
      <c r="I44" s="32"/>
      <c r="J44" s="32"/>
      <c r="K44" s="32"/>
      <c r="L44" s="32"/>
      <c r="M44" s="70"/>
    </row>
    <row r="45" spans="1:13">
      <c r="A45" s="433" t="s">
        <v>2901</v>
      </c>
      <c r="B45" s="434"/>
      <c r="C45" s="434"/>
      <c r="D45" s="434"/>
      <c r="E45" s="434"/>
      <c r="F45" s="434"/>
      <c r="G45" s="434"/>
      <c r="H45" s="434"/>
      <c r="I45" s="434"/>
      <c r="J45" s="434"/>
      <c r="K45" s="434"/>
      <c r="L45" s="434"/>
      <c r="M45" s="435"/>
    </row>
    <row r="46" spans="1:13">
      <c r="A46" s="436"/>
      <c r="B46" s="434"/>
      <c r="C46" s="434"/>
      <c r="D46" s="434"/>
      <c r="E46" s="434"/>
      <c r="F46" s="434"/>
      <c r="G46" s="434"/>
      <c r="H46" s="434"/>
      <c r="I46" s="434"/>
      <c r="J46" s="434"/>
      <c r="K46" s="434"/>
      <c r="L46" s="434"/>
      <c r="M46" s="435"/>
    </row>
    <row r="47" spans="1:13">
      <c r="A47" s="436"/>
      <c r="B47" s="434"/>
      <c r="C47" s="434"/>
      <c r="D47" s="434"/>
      <c r="E47" s="434"/>
      <c r="F47" s="434"/>
      <c r="G47" s="434"/>
      <c r="H47" s="434"/>
      <c r="I47" s="434"/>
      <c r="J47" s="434"/>
      <c r="K47" s="434"/>
      <c r="L47" s="434"/>
      <c r="M47" s="435"/>
    </row>
    <row r="48" spans="1:13">
      <c r="A48" s="437"/>
      <c r="B48" s="438"/>
      <c r="C48" s="438"/>
      <c r="D48" s="438"/>
      <c r="E48" s="438"/>
      <c r="F48" s="438"/>
      <c r="G48" s="438"/>
      <c r="H48" s="438"/>
      <c r="I48" s="438"/>
      <c r="J48" s="438"/>
      <c r="K48" s="438"/>
      <c r="L48" s="438"/>
      <c r="M48" s="439"/>
    </row>
    <row r="49" spans="1:13">
      <c r="A49" s="111" t="s">
        <v>41</v>
      </c>
      <c r="B49" s="420" t="s">
        <v>2900</v>
      </c>
      <c r="C49" s="421"/>
      <c r="D49" s="421"/>
      <c r="E49" s="421"/>
      <c r="F49" s="421"/>
      <c r="G49" s="422"/>
      <c r="H49" s="408" t="s">
        <v>42</v>
      </c>
      <c r="I49" s="417"/>
      <c r="J49" s="418"/>
      <c r="K49" s="408" t="s">
        <v>43</v>
      </c>
      <c r="L49" s="417"/>
      <c r="M49" s="419"/>
    </row>
    <row r="50" spans="1:13" ht="13.8" thickBot="1">
      <c r="A50" s="459"/>
      <c r="B50" s="460"/>
      <c r="C50" s="460"/>
      <c r="D50" s="460"/>
      <c r="E50" s="460"/>
      <c r="F50" s="460"/>
      <c r="G50" s="461"/>
      <c r="H50" s="462">
        <v>0</v>
      </c>
      <c r="I50" s="413"/>
      <c r="J50" s="463"/>
      <c r="K50" s="412">
        <v>22500</v>
      </c>
      <c r="L50" s="464"/>
      <c r="M50" s="465"/>
    </row>
    <row r="51" spans="1:13">
      <c r="A51" s="484" t="s">
        <v>44</v>
      </c>
      <c r="B51" s="431"/>
      <c r="C51" s="485"/>
      <c r="D51" s="486" t="s">
        <v>45</v>
      </c>
      <c r="E51" s="431"/>
      <c r="F51" s="485"/>
      <c r="G51" s="486" t="s">
        <v>46</v>
      </c>
      <c r="H51" s="431"/>
      <c r="I51" s="431"/>
      <c r="J51" s="485"/>
      <c r="K51" s="431" t="s">
        <v>125</v>
      </c>
      <c r="L51" s="431"/>
      <c r="M51" s="432"/>
    </row>
    <row r="52" spans="1:13">
      <c r="A52" s="469" t="str">
        <f>'Summary Sheet'!E67</f>
        <v>Vernon Lansford</v>
      </c>
      <c r="B52" s="470"/>
      <c r="C52" s="471"/>
      <c r="D52" s="475" t="str">
        <f>'Summary Sheet'!G67</f>
        <v>FEMA</v>
      </c>
      <c r="E52" s="470"/>
      <c r="F52" s="471"/>
      <c r="G52" s="475" t="str">
        <f>IF('Bosque Co'!G52=0,"",'Bosque Co'!G52)</f>
        <v/>
      </c>
      <c r="H52" s="470"/>
      <c r="I52" s="470"/>
      <c r="J52" s="471"/>
      <c r="K52" s="478" t="str">
        <f>'Summary Sheet'!I67</f>
        <v>225-910-5272</v>
      </c>
      <c r="L52" s="479"/>
      <c r="M52" s="480"/>
    </row>
    <row r="53" spans="1:13">
      <c r="A53" s="472"/>
      <c r="B53" s="473"/>
      <c r="C53" s="474"/>
      <c r="D53" s="476"/>
      <c r="E53" s="473"/>
      <c r="F53" s="474"/>
      <c r="G53" s="476"/>
      <c r="H53" s="473"/>
      <c r="I53" s="473"/>
      <c r="J53" s="474"/>
      <c r="K53" s="481"/>
      <c r="L53" s="482"/>
      <c r="M53" s="483"/>
    </row>
    <row r="54" spans="1:13" ht="13.8" thickBot="1">
      <c r="A54" s="38" t="s">
        <v>47</v>
      </c>
      <c r="B54" s="39"/>
      <c r="C54" s="40"/>
      <c r="D54" s="40"/>
      <c r="E54" s="40"/>
      <c r="F54" s="40"/>
      <c r="G54" s="410" t="s">
        <v>119</v>
      </c>
      <c r="H54" s="410"/>
      <c r="I54" s="410"/>
      <c r="J54" s="411"/>
      <c r="K54" s="412">
        <f>+K20+K30+K40+K50</f>
        <v>85925</v>
      </c>
      <c r="L54" s="413"/>
      <c r="M54" s="414"/>
    </row>
    <row r="55" spans="1:13" ht="2.25" customHeight="1"/>
    <row r="56" spans="1:13">
      <c r="A56" s="33" t="s">
        <v>64</v>
      </c>
      <c r="D56" s="34" t="s">
        <v>70</v>
      </c>
      <c r="G56" s="33" t="s">
        <v>75</v>
      </c>
      <c r="K56" s="71" t="s">
        <v>104</v>
      </c>
    </row>
    <row r="57" spans="1:13">
      <c r="A57" s="33" t="s">
        <v>78</v>
      </c>
      <c r="D57" s="33" t="s">
        <v>69</v>
      </c>
      <c r="G57" s="33" t="s">
        <v>76</v>
      </c>
      <c r="K57" s="71" t="s">
        <v>105</v>
      </c>
    </row>
    <row r="58" spans="1:13">
      <c r="A58" s="33" t="s">
        <v>79</v>
      </c>
      <c r="D58" s="33" t="s">
        <v>71</v>
      </c>
      <c r="G58" s="33" t="s">
        <v>77</v>
      </c>
      <c r="K58" s="71" t="s">
        <v>106</v>
      </c>
    </row>
    <row r="59" spans="1:13">
      <c r="A59" s="33" t="s">
        <v>65</v>
      </c>
      <c r="D59" s="34" t="s">
        <v>84</v>
      </c>
      <c r="E59" s="35"/>
      <c r="F59" s="35"/>
      <c r="G59" s="33" t="s">
        <v>72</v>
      </c>
      <c r="K59" s="71" t="s">
        <v>109</v>
      </c>
    </row>
    <row r="60" spans="1:13">
      <c r="A60" s="33" t="s">
        <v>66</v>
      </c>
      <c r="D60" s="34" t="s">
        <v>85</v>
      </c>
      <c r="G60" s="71" t="s">
        <v>107</v>
      </c>
      <c r="K60" s="71" t="s">
        <v>110</v>
      </c>
    </row>
    <row r="61" spans="1:13">
      <c r="A61" s="33" t="s">
        <v>67</v>
      </c>
      <c r="D61" s="33" t="s">
        <v>73</v>
      </c>
      <c r="G61" s="71" t="s">
        <v>108</v>
      </c>
      <c r="K61" s="71" t="s">
        <v>111</v>
      </c>
    </row>
    <row r="62" spans="1:13">
      <c r="A62" s="33" t="s">
        <v>68</v>
      </c>
      <c r="D62" s="33" t="s">
        <v>74</v>
      </c>
      <c r="G62" s="71" t="s">
        <v>103</v>
      </c>
      <c r="K62" s="71" t="s">
        <v>112</v>
      </c>
    </row>
  </sheetData>
  <mergeCells count="89">
    <mergeCell ref="G54:J54"/>
    <mergeCell ref="K54:M54"/>
    <mergeCell ref="A51:C51"/>
    <mergeCell ref="D51:F51"/>
    <mergeCell ref="G51:J51"/>
    <mergeCell ref="K51:M51"/>
    <mergeCell ref="A52:C53"/>
    <mergeCell ref="D52:F53"/>
    <mergeCell ref="G52:J53"/>
    <mergeCell ref="K52:M53"/>
    <mergeCell ref="A45:M48"/>
    <mergeCell ref="B49:G49"/>
    <mergeCell ref="H49:J49"/>
    <mergeCell ref="K49:M49"/>
    <mergeCell ref="A50:G50"/>
    <mergeCell ref="H50:J50"/>
    <mergeCell ref="K50:M50"/>
    <mergeCell ref="C41:F41"/>
    <mergeCell ref="G41:K41"/>
    <mergeCell ref="L41:M41"/>
    <mergeCell ref="A42:A43"/>
    <mergeCell ref="B42:B43"/>
    <mergeCell ref="C42:K42"/>
    <mergeCell ref="L42:M42"/>
    <mergeCell ref="C43:K43"/>
    <mergeCell ref="L43:M43"/>
    <mergeCell ref="A35:M38"/>
    <mergeCell ref="B39:G39"/>
    <mergeCell ref="H39:J39"/>
    <mergeCell ref="K39:M39"/>
    <mergeCell ref="A40:G40"/>
    <mergeCell ref="H40:J40"/>
    <mergeCell ref="K40:M40"/>
    <mergeCell ref="C31:F31"/>
    <mergeCell ref="G31:K31"/>
    <mergeCell ref="L31:M31"/>
    <mergeCell ref="A32:A33"/>
    <mergeCell ref="B32:B33"/>
    <mergeCell ref="C32:K32"/>
    <mergeCell ref="L32:M32"/>
    <mergeCell ref="C33:K33"/>
    <mergeCell ref="L33:M33"/>
    <mergeCell ref="A25:M28"/>
    <mergeCell ref="B29:G29"/>
    <mergeCell ref="H29:J29"/>
    <mergeCell ref="K29:M29"/>
    <mergeCell ref="A30:G30"/>
    <mergeCell ref="H30:J30"/>
    <mergeCell ref="K30:M30"/>
    <mergeCell ref="C21:F21"/>
    <mergeCell ref="G21:K21"/>
    <mergeCell ref="L21:M21"/>
    <mergeCell ref="A22:A23"/>
    <mergeCell ref="B22:B23"/>
    <mergeCell ref="C22:K22"/>
    <mergeCell ref="L22:M22"/>
    <mergeCell ref="C23:K23"/>
    <mergeCell ref="L23:M23"/>
    <mergeCell ref="A15:M18"/>
    <mergeCell ref="B19:G19"/>
    <mergeCell ref="H19:J19"/>
    <mergeCell ref="K19:M19"/>
    <mergeCell ref="A20:G20"/>
    <mergeCell ref="H20:J20"/>
    <mergeCell ref="K20:M20"/>
    <mergeCell ref="C11:F11"/>
    <mergeCell ref="G11:K11"/>
    <mergeCell ref="L11:M11"/>
    <mergeCell ref="A12:A13"/>
    <mergeCell ref="B12:B13"/>
    <mergeCell ref="C12:K12"/>
    <mergeCell ref="L12:M12"/>
    <mergeCell ref="C13:K13"/>
    <mergeCell ref="L13:M13"/>
    <mergeCell ref="A7:L7"/>
    <mergeCell ref="A1:K1"/>
    <mergeCell ref="L1:M1"/>
    <mergeCell ref="A2:K2"/>
    <mergeCell ref="L2:M2"/>
    <mergeCell ref="A3:M3"/>
    <mergeCell ref="A4:B4"/>
    <mergeCell ref="C4:F4"/>
    <mergeCell ref="G4:K4"/>
    <mergeCell ref="L4:M4"/>
    <mergeCell ref="A5:B5"/>
    <mergeCell ref="C5:F5"/>
    <mergeCell ref="G5:K5"/>
    <mergeCell ref="L5:M5"/>
    <mergeCell ref="A6:M6"/>
  </mergeCells>
  <pageMargins left="0.5" right="0.5" top="0.5" bottom="0.25" header="0" footer="0.25"/>
  <pageSetup scale="94" orientation="portrait" r:id="rId1"/>
  <headerFooter alignWithMargins="0">
    <oddFooter>&amp;L&amp;8&amp;F  &amp;D&amp;C&amp;12 2</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pageSetUpPr fitToPage="1"/>
  </sheetPr>
  <dimension ref="A1:O62"/>
  <sheetViews>
    <sheetView zoomScale="85" zoomScaleNormal="85" workbookViewId="0">
      <selection sqref="A1:K1"/>
    </sheetView>
  </sheetViews>
  <sheetFormatPr defaultRowHeight="13.2"/>
  <cols>
    <col min="8" max="8" width="5.5546875" customWidth="1"/>
    <col min="9" max="9" width="5.6640625" customWidth="1"/>
    <col min="10" max="10" width="3.6640625" customWidth="1"/>
    <col min="11" max="11" width="7.109375" customWidth="1"/>
  </cols>
  <sheetData>
    <row r="1" spans="1:15">
      <c r="A1" s="387" t="s">
        <v>23</v>
      </c>
      <c r="B1" s="388"/>
      <c r="C1" s="388"/>
      <c r="D1" s="388"/>
      <c r="E1" s="388"/>
      <c r="F1" s="388"/>
      <c r="G1" s="388"/>
      <c r="H1" s="388"/>
      <c r="I1" s="388"/>
      <c r="J1" s="388"/>
      <c r="K1" s="389"/>
      <c r="L1" s="406" t="s">
        <v>24</v>
      </c>
      <c r="M1" s="407"/>
    </row>
    <row r="2" spans="1:15">
      <c r="A2" s="390" t="s">
        <v>25</v>
      </c>
      <c r="B2" s="391"/>
      <c r="C2" s="391"/>
      <c r="D2" s="391"/>
      <c r="E2" s="391"/>
      <c r="F2" s="391"/>
      <c r="G2" s="391"/>
      <c r="H2" s="391"/>
      <c r="I2" s="391"/>
      <c r="J2" s="391"/>
      <c r="K2" s="392"/>
      <c r="L2" s="404">
        <v>42557</v>
      </c>
      <c r="M2" s="405"/>
    </row>
    <row r="3" spans="1:15">
      <c r="A3" s="401" t="s">
        <v>26</v>
      </c>
      <c r="B3" s="402"/>
      <c r="C3" s="402"/>
      <c r="D3" s="402"/>
      <c r="E3" s="402"/>
      <c r="F3" s="402"/>
      <c r="G3" s="402"/>
      <c r="H3" s="402"/>
      <c r="I3" s="402"/>
      <c r="J3" s="402"/>
      <c r="K3" s="402"/>
      <c r="L3" s="402"/>
      <c r="M3" s="403"/>
    </row>
    <row r="4" spans="1:15">
      <c r="A4" s="451" t="s">
        <v>27</v>
      </c>
      <c r="B4" s="452"/>
      <c r="C4" s="408" t="s">
        <v>28</v>
      </c>
      <c r="D4" s="409"/>
      <c r="E4" s="409"/>
      <c r="F4" s="452"/>
      <c r="G4" s="408" t="s">
        <v>29</v>
      </c>
      <c r="H4" s="409"/>
      <c r="I4" s="409"/>
      <c r="J4" s="409"/>
      <c r="K4" s="409"/>
      <c r="L4" s="444" t="s">
        <v>83</v>
      </c>
      <c r="M4" s="445"/>
    </row>
    <row r="5" spans="1:15">
      <c r="A5" s="453" t="s">
        <v>2871</v>
      </c>
      <c r="B5" s="454"/>
      <c r="C5" s="455" t="s">
        <v>2875</v>
      </c>
      <c r="D5" s="456"/>
      <c r="E5" s="456"/>
      <c r="F5" s="454"/>
      <c r="G5" s="448" t="s">
        <v>2876</v>
      </c>
      <c r="H5" s="449"/>
      <c r="I5" s="449"/>
      <c r="J5" s="449"/>
      <c r="K5" s="450"/>
      <c r="L5" s="446" t="s">
        <v>2877</v>
      </c>
      <c r="M5" s="447"/>
    </row>
    <row r="6" spans="1:15">
      <c r="A6" s="401" t="s">
        <v>30</v>
      </c>
      <c r="B6" s="402"/>
      <c r="C6" s="402"/>
      <c r="D6" s="402"/>
      <c r="E6" s="402"/>
      <c r="F6" s="402"/>
      <c r="G6" s="402"/>
      <c r="H6" s="402"/>
      <c r="I6" s="402"/>
      <c r="J6" s="402"/>
      <c r="K6" s="402"/>
      <c r="L6" s="402"/>
      <c r="M6" s="403"/>
    </row>
    <row r="7" spans="1:15">
      <c r="A7" s="399" t="s">
        <v>31</v>
      </c>
      <c r="B7" s="400"/>
      <c r="C7" s="400"/>
      <c r="D7" s="400"/>
      <c r="E7" s="400"/>
      <c r="F7" s="400"/>
      <c r="G7" s="400"/>
      <c r="H7" s="400"/>
      <c r="I7" s="400"/>
      <c r="J7" s="400"/>
      <c r="K7" s="400"/>
      <c r="L7" s="400"/>
      <c r="M7" s="100"/>
    </row>
    <row r="8" spans="1:15">
      <c r="A8" s="101" t="s">
        <v>18</v>
      </c>
      <c r="B8" s="99" t="s">
        <v>32</v>
      </c>
      <c r="C8" s="99"/>
      <c r="D8" s="102"/>
      <c r="E8" s="99" t="s">
        <v>33</v>
      </c>
      <c r="F8" s="99"/>
      <c r="G8" s="99"/>
      <c r="H8" s="99"/>
      <c r="I8" s="99" t="s">
        <v>34</v>
      </c>
      <c r="J8" s="99"/>
      <c r="K8" s="99"/>
      <c r="L8" s="99"/>
      <c r="M8" s="100"/>
    </row>
    <row r="9" spans="1:15">
      <c r="A9" s="101"/>
      <c r="B9" s="99" t="s">
        <v>35</v>
      </c>
      <c r="C9" s="99"/>
      <c r="D9" s="99"/>
      <c r="E9" s="99" t="s">
        <v>36</v>
      </c>
      <c r="F9" s="99"/>
      <c r="G9" s="102"/>
      <c r="H9" s="102"/>
      <c r="I9" s="102"/>
      <c r="J9" s="102"/>
      <c r="K9" s="102"/>
      <c r="L9" s="102"/>
      <c r="M9" s="100"/>
    </row>
    <row r="10" spans="1:15" ht="13.8" thickBot="1">
      <c r="A10" s="103"/>
      <c r="B10" s="104" t="s">
        <v>37</v>
      </c>
      <c r="C10" s="104"/>
      <c r="D10" s="104"/>
      <c r="E10" s="104" t="s">
        <v>38</v>
      </c>
      <c r="F10" s="104"/>
      <c r="G10" s="105"/>
      <c r="H10" s="105"/>
      <c r="I10" s="105"/>
      <c r="J10" s="105"/>
      <c r="K10" s="105"/>
      <c r="L10" s="105"/>
      <c r="M10" s="106"/>
    </row>
    <row r="11" spans="1:15">
      <c r="A11" s="107" t="s">
        <v>39</v>
      </c>
      <c r="B11" s="108" t="s">
        <v>1</v>
      </c>
      <c r="C11" s="396" t="s">
        <v>82</v>
      </c>
      <c r="D11" s="397"/>
      <c r="E11" s="397"/>
      <c r="F11" s="398"/>
      <c r="G11" s="393" t="s">
        <v>2879</v>
      </c>
      <c r="H11" s="394"/>
      <c r="I11" s="394"/>
      <c r="J11" s="394"/>
      <c r="K11" s="395"/>
      <c r="L11" s="415" t="s">
        <v>81</v>
      </c>
      <c r="M11" s="416"/>
      <c r="O11" t="s">
        <v>124</v>
      </c>
    </row>
    <row r="12" spans="1:15">
      <c r="A12" s="440">
        <v>5</v>
      </c>
      <c r="B12" s="442" t="s">
        <v>5</v>
      </c>
      <c r="C12" s="457" t="s">
        <v>2896</v>
      </c>
      <c r="D12" s="424"/>
      <c r="E12" s="424"/>
      <c r="F12" s="424"/>
      <c r="G12" s="424"/>
      <c r="H12" s="424"/>
      <c r="I12" s="424"/>
      <c r="J12" s="424"/>
      <c r="K12" s="425"/>
      <c r="L12" s="426">
        <v>31.794779999999999</v>
      </c>
      <c r="M12" s="427"/>
    </row>
    <row r="13" spans="1:15">
      <c r="A13" s="441"/>
      <c r="B13" s="443"/>
      <c r="C13" s="458"/>
      <c r="D13" s="429"/>
      <c r="E13" s="429"/>
      <c r="F13" s="429"/>
      <c r="G13" s="429"/>
      <c r="H13" s="429"/>
      <c r="I13" s="429"/>
      <c r="J13" s="429"/>
      <c r="K13" s="430"/>
      <c r="L13" s="426">
        <v>-97.576430000000002</v>
      </c>
      <c r="M13" s="427"/>
    </row>
    <row r="14" spans="1:15">
      <c r="A14" s="110" t="s">
        <v>40</v>
      </c>
      <c r="B14" s="109"/>
      <c r="C14" s="32"/>
      <c r="D14" s="32"/>
      <c r="E14" s="32"/>
      <c r="F14" s="32"/>
      <c r="G14" s="32"/>
      <c r="H14" s="32"/>
      <c r="I14" s="32"/>
      <c r="J14" s="32"/>
      <c r="K14" s="32"/>
      <c r="L14" s="32"/>
      <c r="M14" s="70"/>
    </row>
    <row r="15" spans="1:15">
      <c r="A15" s="433" t="s">
        <v>2902</v>
      </c>
      <c r="B15" s="434"/>
      <c r="C15" s="434"/>
      <c r="D15" s="434"/>
      <c r="E15" s="434"/>
      <c r="F15" s="434"/>
      <c r="G15" s="434"/>
      <c r="H15" s="434"/>
      <c r="I15" s="434"/>
      <c r="J15" s="434"/>
      <c r="K15" s="434"/>
      <c r="L15" s="434"/>
      <c r="M15" s="435"/>
    </row>
    <row r="16" spans="1:15">
      <c r="A16" s="436"/>
      <c r="B16" s="434"/>
      <c r="C16" s="434"/>
      <c r="D16" s="434"/>
      <c r="E16" s="434"/>
      <c r="F16" s="434"/>
      <c r="G16" s="434"/>
      <c r="H16" s="434"/>
      <c r="I16" s="434"/>
      <c r="J16" s="434"/>
      <c r="K16" s="434"/>
      <c r="L16" s="434"/>
      <c r="M16" s="435"/>
    </row>
    <row r="17" spans="1:13">
      <c r="A17" s="436"/>
      <c r="B17" s="434"/>
      <c r="C17" s="434"/>
      <c r="D17" s="434"/>
      <c r="E17" s="434"/>
      <c r="F17" s="434"/>
      <c r="G17" s="434"/>
      <c r="H17" s="434"/>
      <c r="I17" s="434"/>
      <c r="J17" s="434"/>
      <c r="K17" s="434"/>
      <c r="L17" s="434"/>
      <c r="M17" s="435"/>
    </row>
    <row r="18" spans="1:13" ht="26.25" customHeight="1">
      <c r="A18" s="437"/>
      <c r="B18" s="438"/>
      <c r="C18" s="438"/>
      <c r="D18" s="438"/>
      <c r="E18" s="438"/>
      <c r="F18" s="438"/>
      <c r="G18" s="438"/>
      <c r="H18" s="438"/>
      <c r="I18" s="438"/>
      <c r="J18" s="438"/>
      <c r="K18" s="438"/>
      <c r="L18" s="438"/>
      <c r="M18" s="439"/>
    </row>
    <row r="19" spans="1:13">
      <c r="A19" s="111" t="s">
        <v>41</v>
      </c>
      <c r="B19" s="420" t="s">
        <v>2897</v>
      </c>
      <c r="C19" s="421"/>
      <c r="D19" s="421"/>
      <c r="E19" s="421"/>
      <c r="F19" s="421"/>
      <c r="G19" s="422"/>
      <c r="H19" s="408" t="s">
        <v>42</v>
      </c>
      <c r="I19" s="417"/>
      <c r="J19" s="418"/>
      <c r="K19" s="408" t="s">
        <v>43</v>
      </c>
      <c r="L19" s="417"/>
      <c r="M19" s="419"/>
    </row>
    <row r="20" spans="1:13" ht="13.8" thickBot="1">
      <c r="A20" s="459"/>
      <c r="B20" s="460"/>
      <c r="C20" s="460"/>
      <c r="D20" s="460"/>
      <c r="E20" s="460"/>
      <c r="F20" s="460"/>
      <c r="G20" s="461"/>
      <c r="H20" s="462">
        <v>0</v>
      </c>
      <c r="I20" s="413"/>
      <c r="J20" s="463"/>
      <c r="K20" s="412">
        <f>104500-82000</f>
        <v>22500</v>
      </c>
      <c r="L20" s="464"/>
      <c r="M20" s="465"/>
    </row>
    <row r="21" spans="1:13">
      <c r="A21" s="107" t="s">
        <v>39</v>
      </c>
      <c r="B21" s="108" t="s">
        <v>1</v>
      </c>
      <c r="C21" s="396" t="s">
        <v>82</v>
      </c>
      <c r="D21" s="397"/>
      <c r="E21" s="397"/>
      <c r="F21" s="398"/>
      <c r="G21" s="393"/>
      <c r="H21" s="394"/>
      <c r="I21" s="394"/>
      <c r="J21" s="394"/>
      <c r="K21" s="395"/>
      <c r="L21" s="415" t="s">
        <v>81</v>
      </c>
      <c r="M21" s="416"/>
    </row>
    <row r="22" spans="1:13" ht="12.75" customHeight="1">
      <c r="A22" s="440"/>
      <c r="B22" s="442"/>
      <c r="C22" s="457"/>
      <c r="D22" s="424"/>
      <c r="E22" s="424"/>
      <c r="F22" s="424"/>
      <c r="G22" s="424"/>
      <c r="H22" s="424"/>
      <c r="I22" s="424"/>
      <c r="J22" s="424"/>
      <c r="K22" s="425"/>
      <c r="L22" s="426"/>
      <c r="M22" s="427"/>
    </row>
    <row r="23" spans="1:13" ht="12.75" customHeight="1">
      <c r="A23" s="441"/>
      <c r="B23" s="443"/>
      <c r="C23" s="458"/>
      <c r="D23" s="429"/>
      <c r="E23" s="429"/>
      <c r="F23" s="429"/>
      <c r="G23" s="429"/>
      <c r="H23" s="429"/>
      <c r="I23" s="429"/>
      <c r="J23" s="429"/>
      <c r="K23" s="430"/>
      <c r="L23" s="426"/>
      <c r="M23" s="427"/>
    </row>
    <row r="24" spans="1:13">
      <c r="A24" s="110" t="s">
        <v>40</v>
      </c>
      <c r="B24" s="109"/>
      <c r="C24" s="32"/>
      <c r="D24" s="32"/>
      <c r="E24" s="32"/>
      <c r="F24" s="32"/>
      <c r="G24" s="32"/>
      <c r="H24" s="32"/>
      <c r="I24" s="32"/>
      <c r="J24" s="32"/>
      <c r="K24" s="32"/>
      <c r="L24" s="32"/>
      <c r="M24" s="70"/>
    </row>
    <row r="25" spans="1:13">
      <c r="A25" s="433"/>
      <c r="B25" s="434"/>
      <c r="C25" s="434"/>
      <c r="D25" s="434"/>
      <c r="E25" s="434"/>
      <c r="F25" s="434"/>
      <c r="G25" s="434"/>
      <c r="H25" s="434"/>
      <c r="I25" s="434"/>
      <c r="J25" s="434"/>
      <c r="K25" s="434"/>
      <c r="L25" s="434"/>
      <c r="M25" s="435"/>
    </row>
    <row r="26" spans="1:13">
      <c r="A26" s="436"/>
      <c r="B26" s="434"/>
      <c r="C26" s="434"/>
      <c r="D26" s="434"/>
      <c r="E26" s="434"/>
      <c r="F26" s="434"/>
      <c r="G26" s="434"/>
      <c r="H26" s="434"/>
      <c r="I26" s="434"/>
      <c r="J26" s="434"/>
      <c r="K26" s="434"/>
      <c r="L26" s="434"/>
      <c r="M26" s="435"/>
    </row>
    <row r="27" spans="1:13">
      <c r="A27" s="436"/>
      <c r="B27" s="434"/>
      <c r="C27" s="434"/>
      <c r="D27" s="434"/>
      <c r="E27" s="434"/>
      <c r="F27" s="434"/>
      <c r="G27" s="434"/>
      <c r="H27" s="434"/>
      <c r="I27" s="434"/>
      <c r="J27" s="434"/>
      <c r="K27" s="434"/>
      <c r="L27" s="434"/>
      <c r="M27" s="435"/>
    </row>
    <row r="28" spans="1:13">
      <c r="A28" s="437"/>
      <c r="B28" s="438"/>
      <c r="C28" s="438"/>
      <c r="D28" s="438"/>
      <c r="E28" s="438"/>
      <c r="F28" s="438"/>
      <c r="G28" s="438"/>
      <c r="H28" s="438"/>
      <c r="I28" s="438"/>
      <c r="J28" s="438"/>
      <c r="K28" s="438"/>
      <c r="L28" s="438"/>
      <c r="M28" s="439"/>
    </row>
    <row r="29" spans="1:13">
      <c r="A29" s="111" t="s">
        <v>41</v>
      </c>
      <c r="B29" s="487"/>
      <c r="C29" s="421"/>
      <c r="D29" s="421"/>
      <c r="E29" s="421"/>
      <c r="F29" s="421"/>
      <c r="G29" s="422"/>
      <c r="H29" s="408" t="s">
        <v>42</v>
      </c>
      <c r="I29" s="417"/>
      <c r="J29" s="418"/>
      <c r="K29" s="408" t="s">
        <v>43</v>
      </c>
      <c r="L29" s="417"/>
      <c r="M29" s="419"/>
    </row>
    <row r="30" spans="1:13" ht="13.8" thickBot="1">
      <c r="A30" s="466"/>
      <c r="B30" s="467"/>
      <c r="C30" s="467"/>
      <c r="D30" s="467"/>
      <c r="E30" s="467"/>
      <c r="F30" s="467"/>
      <c r="G30" s="468"/>
      <c r="H30" s="462"/>
      <c r="I30" s="413"/>
      <c r="J30" s="463"/>
      <c r="K30" s="412"/>
      <c r="L30" s="464"/>
      <c r="M30" s="465"/>
    </row>
    <row r="31" spans="1:13">
      <c r="A31" s="107" t="s">
        <v>39</v>
      </c>
      <c r="B31" s="108" t="s">
        <v>1</v>
      </c>
      <c r="C31" s="396" t="s">
        <v>82</v>
      </c>
      <c r="D31" s="397"/>
      <c r="E31" s="397"/>
      <c r="F31" s="398"/>
      <c r="G31" s="394"/>
      <c r="H31" s="394"/>
      <c r="I31" s="394"/>
      <c r="J31" s="394"/>
      <c r="K31" s="395"/>
      <c r="L31" s="415" t="s">
        <v>81</v>
      </c>
      <c r="M31" s="416"/>
    </row>
    <row r="32" spans="1:13" ht="12.75" customHeight="1">
      <c r="A32" s="440"/>
      <c r="B32" s="442"/>
      <c r="C32" s="423"/>
      <c r="D32" s="424"/>
      <c r="E32" s="424"/>
      <c r="F32" s="424"/>
      <c r="G32" s="424"/>
      <c r="H32" s="424"/>
      <c r="I32" s="424"/>
      <c r="J32" s="424"/>
      <c r="K32" s="425"/>
      <c r="L32" s="426"/>
      <c r="M32" s="427"/>
    </row>
    <row r="33" spans="1:13" ht="12.75" customHeight="1">
      <c r="A33" s="441"/>
      <c r="B33" s="443"/>
      <c r="C33" s="428"/>
      <c r="D33" s="429"/>
      <c r="E33" s="429"/>
      <c r="F33" s="429"/>
      <c r="G33" s="429"/>
      <c r="H33" s="429"/>
      <c r="I33" s="429"/>
      <c r="J33" s="429"/>
      <c r="K33" s="430"/>
      <c r="L33" s="426"/>
      <c r="M33" s="427"/>
    </row>
    <row r="34" spans="1:13" ht="12.75" customHeight="1">
      <c r="A34" s="110" t="s">
        <v>40</v>
      </c>
      <c r="B34" s="109"/>
      <c r="C34" s="32"/>
      <c r="D34" s="32"/>
      <c r="E34" s="32"/>
      <c r="F34" s="32"/>
      <c r="G34" s="32"/>
      <c r="H34" s="32"/>
      <c r="I34" s="32"/>
      <c r="J34" s="32"/>
      <c r="K34" s="32"/>
      <c r="L34" s="32"/>
      <c r="M34" s="70"/>
    </row>
    <row r="35" spans="1:13">
      <c r="A35" s="433"/>
      <c r="B35" s="434"/>
      <c r="C35" s="434"/>
      <c r="D35" s="434"/>
      <c r="E35" s="434"/>
      <c r="F35" s="434"/>
      <c r="G35" s="434"/>
      <c r="H35" s="434"/>
      <c r="I35" s="434"/>
      <c r="J35" s="434"/>
      <c r="K35" s="434"/>
      <c r="L35" s="434"/>
      <c r="M35" s="435"/>
    </row>
    <row r="36" spans="1:13">
      <c r="A36" s="436"/>
      <c r="B36" s="434"/>
      <c r="C36" s="434"/>
      <c r="D36" s="434"/>
      <c r="E36" s="434"/>
      <c r="F36" s="434"/>
      <c r="G36" s="434"/>
      <c r="H36" s="434"/>
      <c r="I36" s="434"/>
      <c r="J36" s="434"/>
      <c r="K36" s="434"/>
      <c r="L36" s="434"/>
      <c r="M36" s="435"/>
    </row>
    <row r="37" spans="1:13">
      <c r="A37" s="436"/>
      <c r="B37" s="434"/>
      <c r="C37" s="434"/>
      <c r="D37" s="434"/>
      <c r="E37" s="434"/>
      <c r="F37" s="434"/>
      <c r="G37" s="434"/>
      <c r="H37" s="434"/>
      <c r="I37" s="434"/>
      <c r="J37" s="434"/>
      <c r="K37" s="434"/>
      <c r="L37" s="434"/>
      <c r="M37" s="435"/>
    </row>
    <row r="38" spans="1:13">
      <c r="A38" s="437"/>
      <c r="B38" s="438"/>
      <c r="C38" s="438"/>
      <c r="D38" s="438"/>
      <c r="E38" s="438"/>
      <c r="F38" s="438"/>
      <c r="G38" s="438"/>
      <c r="H38" s="438"/>
      <c r="I38" s="438"/>
      <c r="J38" s="438"/>
      <c r="K38" s="438"/>
      <c r="L38" s="438"/>
      <c r="M38" s="439"/>
    </row>
    <row r="39" spans="1:13">
      <c r="A39" s="111" t="s">
        <v>41</v>
      </c>
      <c r="B39" s="420"/>
      <c r="C39" s="421"/>
      <c r="D39" s="421"/>
      <c r="E39" s="421"/>
      <c r="F39" s="421"/>
      <c r="G39" s="422"/>
      <c r="H39" s="408" t="s">
        <v>42</v>
      </c>
      <c r="I39" s="417"/>
      <c r="J39" s="418"/>
      <c r="K39" s="408" t="s">
        <v>43</v>
      </c>
      <c r="L39" s="417"/>
      <c r="M39" s="419"/>
    </row>
    <row r="40" spans="1:13" ht="13.8" thickBot="1">
      <c r="A40" s="466"/>
      <c r="B40" s="467"/>
      <c r="C40" s="467"/>
      <c r="D40" s="467"/>
      <c r="E40" s="467"/>
      <c r="F40" s="467"/>
      <c r="G40" s="468"/>
      <c r="H40" s="462"/>
      <c r="I40" s="413"/>
      <c r="J40" s="463"/>
      <c r="K40" s="412"/>
      <c r="L40" s="464"/>
      <c r="M40" s="465"/>
    </row>
    <row r="41" spans="1:13">
      <c r="A41" s="107" t="s">
        <v>39</v>
      </c>
      <c r="B41" s="108" t="s">
        <v>1</v>
      </c>
      <c r="C41" s="396" t="s">
        <v>82</v>
      </c>
      <c r="D41" s="397"/>
      <c r="E41" s="397"/>
      <c r="F41" s="398"/>
      <c r="G41" s="394"/>
      <c r="H41" s="394"/>
      <c r="I41" s="394"/>
      <c r="J41" s="394"/>
      <c r="K41" s="395"/>
      <c r="L41" s="415" t="s">
        <v>81</v>
      </c>
      <c r="M41" s="416"/>
    </row>
    <row r="42" spans="1:13" ht="12.75" customHeight="1">
      <c r="A42" s="440"/>
      <c r="B42" s="442"/>
      <c r="C42" s="423"/>
      <c r="D42" s="424"/>
      <c r="E42" s="424"/>
      <c r="F42" s="424"/>
      <c r="G42" s="424"/>
      <c r="H42" s="424"/>
      <c r="I42" s="424"/>
      <c r="J42" s="424"/>
      <c r="K42" s="425"/>
      <c r="L42" s="426"/>
      <c r="M42" s="427"/>
    </row>
    <row r="43" spans="1:13" ht="12.75" customHeight="1">
      <c r="A43" s="441"/>
      <c r="B43" s="443"/>
      <c r="C43" s="428"/>
      <c r="D43" s="429"/>
      <c r="E43" s="429"/>
      <c r="F43" s="429"/>
      <c r="G43" s="429"/>
      <c r="H43" s="429"/>
      <c r="I43" s="429"/>
      <c r="J43" s="429"/>
      <c r="K43" s="430"/>
      <c r="L43" s="426"/>
      <c r="M43" s="427"/>
    </row>
    <row r="44" spans="1:13" ht="12.75" customHeight="1">
      <c r="A44" s="110" t="s">
        <v>40</v>
      </c>
      <c r="B44" s="109"/>
      <c r="C44" s="32"/>
      <c r="D44" s="32"/>
      <c r="E44" s="32"/>
      <c r="F44" s="32"/>
      <c r="G44" s="32"/>
      <c r="H44" s="32"/>
      <c r="I44" s="32"/>
      <c r="J44" s="32"/>
      <c r="K44" s="32"/>
      <c r="L44" s="32"/>
      <c r="M44" s="70"/>
    </row>
    <row r="45" spans="1:13">
      <c r="A45" s="433"/>
      <c r="B45" s="434"/>
      <c r="C45" s="434"/>
      <c r="D45" s="434"/>
      <c r="E45" s="434"/>
      <c r="F45" s="434"/>
      <c r="G45" s="434"/>
      <c r="H45" s="434"/>
      <c r="I45" s="434"/>
      <c r="J45" s="434"/>
      <c r="K45" s="434"/>
      <c r="L45" s="434"/>
      <c r="M45" s="435"/>
    </row>
    <row r="46" spans="1:13">
      <c r="A46" s="436"/>
      <c r="B46" s="434"/>
      <c r="C46" s="434"/>
      <c r="D46" s="434"/>
      <c r="E46" s="434"/>
      <c r="F46" s="434"/>
      <c r="G46" s="434"/>
      <c r="H46" s="434"/>
      <c r="I46" s="434"/>
      <c r="J46" s="434"/>
      <c r="K46" s="434"/>
      <c r="L46" s="434"/>
      <c r="M46" s="435"/>
    </row>
    <row r="47" spans="1:13">
      <c r="A47" s="436"/>
      <c r="B47" s="434"/>
      <c r="C47" s="434"/>
      <c r="D47" s="434"/>
      <c r="E47" s="434"/>
      <c r="F47" s="434"/>
      <c r="G47" s="434"/>
      <c r="H47" s="434"/>
      <c r="I47" s="434"/>
      <c r="J47" s="434"/>
      <c r="K47" s="434"/>
      <c r="L47" s="434"/>
      <c r="M47" s="435"/>
    </row>
    <row r="48" spans="1:13">
      <c r="A48" s="437"/>
      <c r="B48" s="438"/>
      <c r="C48" s="438"/>
      <c r="D48" s="438"/>
      <c r="E48" s="438"/>
      <c r="F48" s="438"/>
      <c r="G48" s="438"/>
      <c r="H48" s="438"/>
      <c r="I48" s="438"/>
      <c r="J48" s="438"/>
      <c r="K48" s="438"/>
      <c r="L48" s="438"/>
      <c r="M48" s="439"/>
    </row>
    <row r="49" spans="1:13">
      <c r="A49" s="111" t="s">
        <v>41</v>
      </c>
      <c r="B49" s="420"/>
      <c r="C49" s="421"/>
      <c r="D49" s="421"/>
      <c r="E49" s="421"/>
      <c r="F49" s="421"/>
      <c r="G49" s="422"/>
      <c r="H49" s="408" t="s">
        <v>42</v>
      </c>
      <c r="I49" s="417"/>
      <c r="J49" s="418"/>
      <c r="K49" s="408" t="s">
        <v>43</v>
      </c>
      <c r="L49" s="417"/>
      <c r="M49" s="419"/>
    </row>
    <row r="50" spans="1:13" ht="13.8" thickBot="1">
      <c r="A50" s="459"/>
      <c r="B50" s="460"/>
      <c r="C50" s="460"/>
      <c r="D50" s="460"/>
      <c r="E50" s="460"/>
      <c r="F50" s="460"/>
      <c r="G50" s="461"/>
      <c r="H50" s="462"/>
      <c r="I50" s="413"/>
      <c r="J50" s="463"/>
      <c r="K50" s="412"/>
      <c r="L50" s="464"/>
      <c r="M50" s="465"/>
    </row>
    <row r="51" spans="1:13">
      <c r="A51" s="484" t="s">
        <v>44</v>
      </c>
      <c r="B51" s="431"/>
      <c r="C51" s="485"/>
      <c r="D51" s="486" t="s">
        <v>45</v>
      </c>
      <c r="E51" s="431"/>
      <c r="F51" s="485"/>
      <c r="G51" s="486" t="s">
        <v>46</v>
      </c>
      <c r="H51" s="431"/>
      <c r="I51" s="431"/>
      <c r="J51" s="485"/>
      <c r="K51" s="431" t="s">
        <v>125</v>
      </c>
      <c r="L51" s="431"/>
      <c r="M51" s="432"/>
    </row>
    <row r="52" spans="1:13">
      <c r="A52" s="469" t="str">
        <f>'Summary Sheet'!E67</f>
        <v>Vernon Lansford</v>
      </c>
      <c r="B52" s="470"/>
      <c r="C52" s="471"/>
      <c r="D52" s="475" t="str">
        <f>'Summary Sheet'!G67</f>
        <v>FEMA</v>
      </c>
      <c r="E52" s="470"/>
      <c r="F52" s="471"/>
      <c r="G52" s="475" t="str">
        <f>IF('Bosque Co'!G52=0,"",'Bosque Co'!G52)</f>
        <v/>
      </c>
      <c r="H52" s="470"/>
      <c r="I52" s="470"/>
      <c r="J52" s="471"/>
      <c r="K52" s="478" t="str">
        <f>'Summary Sheet'!I67</f>
        <v>225-910-5272</v>
      </c>
      <c r="L52" s="479"/>
      <c r="M52" s="480"/>
    </row>
    <row r="53" spans="1:13">
      <c r="A53" s="472"/>
      <c r="B53" s="473"/>
      <c r="C53" s="474"/>
      <c r="D53" s="476"/>
      <c r="E53" s="473"/>
      <c r="F53" s="474"/>
      <c r="G53" s="476"/>
      <c r="H53" s="473"/>
      <c r="I53" s="473"/>
      <c r="J53" s="474"/>
      <c r="K53" s="481"/>
      <c r="L53" s="482"/>
      <c r="M53" s="483"/>
    </row>
    <row r="54" spans="1:13" ht="13.8" thickBot="1">
      <c r="A54" s="38" t="s">
        <v>47</v>
      </c>
      <c r="B54" s="39"/>
      <c r="C54" s="40"/>
      <c r="D54" s="40"/>
      <c r="E54" s="40"/>
      <c r="F54" s="40"/>
      <c r="G54" s="410" t="s">
        <v>119</v>
      </c>
      <c r="H54" s="410"/>
      <c r="I54" s="410"/>
      <c r="J54" s="411"/>
      <c r="K54" s="412">
        <f>+K20+K30+K40+K50</f>
        <v>22500</v>
      </c>
      <c r="L54" s="413"/>
      <c r="M54" s="414"/>
    </row>
    <row r="55" spans="1:13" ht="2.25" customHeight="1"/>
    <row r="56" spans="1:13">
      <c r="A56" s="33" t="s">
        <v>64</v>
      </c>
      <c r="D56" s="34" t="s">
        <v>70</v>
      </c>
      <c r="G56" s="33" t="s">
        <v>75</v>
      </c>
      <c r="K56" s="71" t="s">
        <v>104</v>
      </c>
    </row>
    <row r="57" spans="1:13">
      <c r="A57" s="33" t="s">
        <v>78</v>
      </c>
      <c r="D57" s="33" t="s">
        <v>69</v>
      </c>
      <c r="G57" s="33" t="s">
        <v>76</v>
      </c>
      <c r="K57" s="71" t="s">
        <v>105</v>
      </c>
    </row>
    <row r="58" spans="1:13">
      <c r="A58" s="33" t="s">
        <v>79</v>
      </c>
      <c r="D58" s="33" t="s">
        <v>71</v>
      </c>
      <c r="G58" s="33" t="s">
        <v>77</v>
      </c>
      <c r="K58" s="71" t="s">
        <v>106</v>
      </c>
    </row>
    <row r="59" spans="1:13">
      <c r="A59" s="33" t="s">
        <v>65</v>
      </c>
      <c r="D59" s="34" t="s">
        <v>84</v>
      </c>
      <c r="E59" s="35"/>
      <c r="F59" s="35"/>
      <c r="G59" s="33" t="s">
        <v>72</v>
      </c>
      <c r="K59" s="71" t="s">
        <v>109</v>
      </c>
    </row>
    <row r="60" spans="1:13">
      <c r="A60" s="33" t="s">
        <v>66</v>
      </c>
      <c r="D60" s="34" t="s">
        <v>85</v>
      </c>
      <c r="G60" s="71" t="s">
        <v>107</v>
      </c>
      <c r="K60" s="71" t="s">
        <v>110</v>
      </c>
    </row>
    <row r="61" spans="1:13">
      <c r="A61" s="33" t="s">
        <v>67</v>
      </c>
      <c r="D61" s="33" t="s">
        <v>73</v>
      </c>
      <c r="G61" s="71" t="s">
        <v>108</v>
      </c>
      <c r="K61" s="71" t="s">
        <v>111</v>
      </c>
    </row>
    <row r="62" spans="1:13">
      <c r="A62" s="33" t="s">
        <v>68</v>
      </c>
      <c r="D62" s="33" t="s">
        <v>74</v>
      </c>
      <c r="G62" s="71" t="s">
        <v>103</v>
      </c>
      <c r="K62" s="71" t="s">
        <v>112</v>
      </c>
    </row>
  </sheetData>
  <mergeCells count="89">
    <mergeCell ref="A7:L7"/>
    <mergeCell ref="A1:K1"/>
    <mergeCell ref="L1:M1"/>
    <mergeCell ref="A2:K2"/>
    <mergeCell ref="L2:M2"/>
    <mergeCell ref="A3:M3"/>
    <mergeCell ref="A4:B4"/>
    <mergeCell ref="C4:F4"/>
    <mergeCell ref="G4:K4"/>
    <mergeCell ref="L4:M4"/>
    <mergeCell ref="A5:B5"/>
    <mergeCell ref="C5:F5"/>
    <mergeCell ref="G5:K5"/>
    <mergeCell ref="L5:M5"/>
    <mergeCell ref="A6:M6"/>
    <mergeCell ref="C11:F11"/>
    <mergeCell ref="G11:K11"/>
    <mergeCell ref="L11:M11"/>
    <mergeCell ref="A12:A13"/>
    <mergeCell ref="B12:B13"/>
    <mergeCell ref="C12:K12"/>
    <mergeCell ref="L12:M12"/>
    <mergeCell ref="C13:K13"/>
    <mergeCell ref="L13:M13"/>
    <mergeCell ref="A15:M18"/>
    <mergeCell ref="B19:G19"/>
    <mergeCell ref="H19:J19"/>
    <mergeCell ref="K19:M19"/>
    <mergeCell ref="A20:G20"/>
    <mergeCell ref="H20:J20"/>
    <mergeCell ref="K20:M20"/>
    <mergeCell ref="C21:F21"/>
    <mergeCell ref="G21:K21"/>
    <mergeCell ref="L21:M21"/>
    <mergeCell ref="A22:A23"/>
    <mergeCell ref="B22:B23"/>
    <mergeCell ref="C22:K22"/>
    <mergeCell ref="L22:M22"/>
    <mergeCell ref="C23:K23"/>
    <mergeCell ref="L23:M23"/>
    <mergeCell ref="A25:M28"/>
    <mergeCell ref="B29:G29"/>
    <mergeCell ref="H29:J29"/>
    <mergeCell ref="K29:M29"/>
    <mergeCell ref="A30:G30"/>
    <mergeCell ref="H30:J30"/>
    <mergeCell ref="K30:M30"/>
    <mergeCell ref="C31:F31"/>
    <mergeCell ref="G31:K31"/>
    <mergeCell ref="L31:M31"/>
    <mergeCell ref="A32:A33"/>
    <mergeCell ref="B32:B33"/>
    <mergeCell ref="C32:K32"/>
    <mergeCell ref="L32:M32"/>
    <mergeCell ref="C33:K33"/>
    <mergeCell ref="L33:M33"/>
    <mergeCell ref="A35:M38"/>
    <mergeCell ref="B39:G39"/>
    <mergeCell ref="H39:J39"/>
    <mergeCell ref="K39:M39"/>
    <mergeCell ref="A40:G40"/>
    <mergeCell ref="H40:J40"/>
    <mergeCell ref="K40:M40"/>
    <mergeCell ref="C41:F41"/>
    <mergeCell ref="G41:K41"/>
    <mergeCell ref="L41:M41"/>
    <mergeCell ref="A42:A43"/>
    <mergeCell ref="B42:B43"/>
    <mergeCell ref="C42:K42"/>
    <mergeCell ref="L42:M42"/>
    <mergeCell ref="C43:K43"/>
    <mergeCell ref="L43:M43"/>
    <mergeCell ref="A45:M48"/>
    <mergeCell ref="B49:G49"/>
    <mergeCell ref="H49:J49"/>
    <mergeCell ref="K49:M49"/>
    <mergeCell ref="A50:G50"/>
    <mergeCell ref="H50:J50"/>
    <mergeCell ref="K50:M50"/>
    <mergeCell ref="G54:J54"/>
    <mergeCell ref="K54:M54"/>
    <mergeCell ref="A51:C51"/>
    <mergeCell ref="D51:F51"/>
    <mergeCell ref="G51:J51"/>
    <mergeCell ref="K51:M51"/>
    <mergeCell ref="A52:C53"/>
    <mergeCell ref="D52:F53"/>
    <mergeCell ref="G52:J53"/>
    <mergeCell ref="K52:M53"/>
  </mergeCells>
  <pageMargins left="0.5" right="0.5" top="0.5" bottom="0.25" header="0" footer="0.25"/>
  <pageSetup scale="94" orientation="portrait" r:id="rId1"/>
  <headerFooter alignWithMargins="0">
    <oddFooter>&amp;L&amp;8&amp;F  &amp;D&amp;C&amp;12 2</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pageSetUpPr fitToPage="1"/>
  </sheetPr>
  <dimension ref="A1:O62"/>
  <sheetViews>
    <sheetView zoomScale="85" zoomScaleNormal="85" workbookViewId="0">
      <selection sqref="A1:K1"/>
    </sheetView>
  </sheetViews>
  <sheetFormatPr defaultRowHeight="13.2"/>
  <cols>
    <col min="8" max="8" width="5.5546875" customWidth="1"/>
    <col min="9" max="9" width="5.6640625" customWidth="1"/>
    <col min="10" max="10" width="3.6640625" customWidth="1"/>
    <col min="11" max="11" width="7.109375" customWidth="1"/>
  </cols>
  <sheetData>
    <row r="1" spans="1:15">
      <c r="A1" s="387" t="s">
        <v>23</v>
      </c>
      <c r="B1" s="388"/>
      <c r="C1" s="388"/>
      <c r="D1" s="388"/>
      <c r="E1" s="388"/>
      <c r="F1" s="388"/>
      <c r="G1" s="388"/>
      <c r="H1" s="388"/>
      <c r="I1" s="388"/>
      <c r="J1" s="388"/>
      <c r="K1" s="389"/>
      <c r="L1" s="406" t="s">
        <v>24</v>
      </c>
      <c r="M1" s="407"/>
    </row>
    <row r="2" spans="1:15">
      <c r="A2" s="390" t="s">
        <v>25</v>
      </c>
      <c r="B2" s="391"/>
      <c r="C2" s="391"/>
      <c r="D2" s="391"/>
      <c r="E2" s="391"/>
      <c r="F2" s="391"/>
      <c r="G2" s="391"/>
      <c r="H2" s="391"/>
      <c r="I2" s="391"/>
      <c r="J2" s="391"/>
      <c r="K2" s="392"/>
      <c r="L2" s="404"/>
      <c r="M2" s="405"/>
    </row>
    <row r="3" spans="1:15">
      <c r="A3" s="401" t="s">
        <v>26</v>
      </c>
      <c r="B3" s="402"/>
      <c r="C3" s="402"/>
      <c r="D3" s="402"/>
      <c r="E3" s="402"/>
      <c r="F3" s="402"/>
      <c r="G3" s="402"/>
      <c r="H3" s="402"/>
      <c r="I3" s="402"/>
      <c r="J3" s="402"/>
      <c r="K3" s="402"/>
      <c r="L3" s="402"/>
      <c r="M3" s="403"/>
    </row>
    <row r="4" spans="1:15">
      <c r="A4" s="451" t="s">
        <v>27</v>
      </c>
      <c r="B4" s="452"/>
      <c r="C4" s="408" t="s">
        <v>28</v>
      </c>
      <c r="D4" s="409"/>
      <c r="E4" s="409"/>
      <c r="F4" s="452"/>
      <c r="G4" s="408" t="s">
        <v>29</v>
      </c>
      <c r="H4" s="409"/>
      <c r="I4" s="409"/>
      <c r="J4" s="409"/>
      <c r="K4" s="409"/>
      <c r="L4" s="444" t="s">
        <v>83</v>
      </c>
      <c r="M4" s="445"/>
    </row>
    <row r="5" spans="1:15">
      <c r="A5" s="453" t="s">
        <v>2871</v>
      </c>
      <c r="B5" s="454"/>
      <c r="C5" s="455" t="s">
        <v>2892</v>
      </c>
      <c r="D5" s="456"/>
      <c r="E5" s="456"/>
      <c r="F5" s="454"/>
      <c r="G5" s="448"/>
      <c r="H5" s="449"/>
      <c r="I5" s="449"/>
      <c r="J5" s="449"/>
      <c r="K5" s="450"/>
      <c r="L5" s="446"/>
      <c r="M5" s="447"/>
    </row>
    <row r="6" spans="1:15">
      <c r="A6" s="401" t="s">
        <v>30</v>
      </c>
      <c r="B6" s="402"/>
      <c r="C6" s="402"/>
      <c r="D6" s="402"/>
      <c r="E6" s="402"/>
      <c r="F6" s="402"/>
      <c r="G6" s="402"/>
      <c r="H6" s="402"/>
      <c r="I6" s="402"/>
      <c r="J6" s="402"/>
      <c r="K6" s="402"/>
      <c r="L6" s="402"/>
      <c r="M6" s="403"/>
    </row>
    <row r="7" spans="1:15">
      <c r="A7" s="399" t="s">
        <v>31</v>
      </c>
      <c r="B7" s="400"/>
      <c r="C7" s="400"/>
      <c r="D7" s="400"/>
      <c r="E7" s="400"/>
      <c r="F7" s="400"/>
      <c r="G7" s="400"/>
      <c r="H7" s="400"/>
      <c r="I7" s="400"/>
      <c r="J7" s="400"/>
      <c r="K7" s="400"/>
      <c r="L7" s="400"/>
      <c r="M7" s="100"/>
    </row>
    <row r="8" spans="1:15">
      <c r="A8" s="101" t="s">
        <v>18</v>
      </c>
      <c r="B8" s="99" t="s">
        <v>32</v>
      </c>
      <c r="C8" s="99"/>
      <c r="D8" s="102"/>
      <c r="E8" s="99" t="s">
        <v>33</v>
      </c>
      <c r="F8" s="99"/>
      <c r="G8" s="99"/>
      <c r="H8" s="99"/>
      <c r="I8" s="99" t="s">
        <v>34</v>
      </c>
      <c r="J8" s="99"/>
      <c r="K8" s="99"/>
      <c r="L8" s="99"/>
      <c r="M8" s="100"/>
    </row>
    <row r="9" spans="1:15">
      <c r="A9" s="101"/>
      <c r="B9" s="99" t="s">
        <v>35</v>
      </c>
      <c r="C9" s="99"/>
      <c r="D9" s="99"/>
      <c r="E9" s="99" t="s">
        <v>36</v>
      </c>
      <c r="F9" s="99"/>
      <c r="G9" s="102"/>
      <c r="H9" s="102"/>
      <c r="I9" s="102"/>
      <c r="J9" s="102"/>
      <c r="K9" s="102"/>
      <c r="L9" s="102"/>
      <c r="M9" s="100"/>
    </row>
    <row r="10" spans="1:15" ht="13.8" thickBot="1">
      <c r="A10" s="103"/>
      <c r="B10" s="104" t="s">
        <v>37</v>
      </c>
      <c r="C10" s="104"/>
      <c r="D10" s="104"/>
      <c r="E10" s="104" t="s">
        <v>38</v>
      </c>
      <c r="F10" s="104"/>
      <c r="G10" s="105"/>
      <c r="H10" s="105"/>
      <c r="I10" s="105"/>
      <c r="J10" s="105"/>
      <c r="K10" s="105"/>
      <c r="L10" s="105"/>
      <c r="M10" s="106"/>
    </row>
    <row r="11" spans="1:15">
      <c r="A11" s="107" t="s">
        <v>39</v>
      </c>
      <c r="B11" s="108" t="s">
        <v>1</v>
      </c>
      <c r="C11" s="396" t="s">
        <v>82</v>
      </c>
      <c r="D11" s="397"/>
      <c r="E11" s="397"/>
      <c r="F11" s="398"/>
      <c r="G11" s="393" t="s">
        <v>2893</v>
      </c>
      <c r="H11" s="394"/>
      <c r="I11" s="394"/>
      <c r="J11" s="394"/>
      <c r="K11" s="395"/>
      <c r="L11" s="415" t="s">
        <v>81</v>
      </c>
      <c r="M11" s="416"/>
      <c r="O11" t="s">
        <v>124</v>
      </c>
    </row>
    <row r="12" spans="1:15">
      <c r="A12" s="440">
        <v>1</v>
      </c>
      <c r="B12" s="442" t="s">
        <v>2</v>
      </c>
      <c r="C12" s="457" t="s">
        <v>2894</v>
      </c>
      <c r="D12" s="424"/>
      <c r="E12" s="424"/>
      <c r="F12" s="424"/>
      <c r="G12" s="424"/>
      <c r="H12" s="424"/>
      <c r="I12" s="424"/>
      <c r="J12" s="424"/>
      <c r="K12" s="425"/>
      <c r="L12" s="426">
        <v>31.651109999999999</v>
      </c>
      <c r="M12" s="427"/>
    </row>
    <row r="13" spans="1:15">
      <c r="A13" s="441"/>
      <c r="B13" s="443"/>
      <c r="C13" s="458"/>
      <c r="D13" s="429"/>
      <c r="E13" s="429"/>
      <c r="F13" s="429"/>
      <c r="G13" s="429"/>
      <c r="H13" s="429"/>
      <c r="I13" s="429"/>
      <c r="J13" s="429"/>
      <c r="K13" s="430"/>
      <c r="L13" s="426">
        <v>-97.477990000000005</v>
      </c>
      <c r="M13" s="427"/>
    </row>
    <row r="14" spans="1:15">
      <c r="A14" s="110" t="s">
        <v>40</v>
      </c>
      <c r="B14" s="109"/>
      <c r="C14" s="32"/>
      <c r="D14" s="32"/>
      <c r="E14" s="32"/>
      <c r="F14" s="32"/>
      <c r="G14" s="32"/>
      <c r="H14" s="32"/>
      <c r="I14" s="32"/>
      <c r="J14" s="32"/>
      <c r="K14" s="32"/>
      <c r="L14" s="32"/>
      <c r="M14" s="70"/>
    </row>
    <row r="15" spans="1:15">
      <c r="A15" s="433" t="s">
        <v>2895</v>
      </c>
      <c r="B15" s="434"/>
      <c r="C15" s="434"/>
      <c r="D15" s="434"/>
      <c r="E15" s="434"/>
      <c r="F15" s="434"/>
      <c r="G15" s="434"/>
      <c r="H15" s="434"/>
      <c r="I15" s="434"/>
      <c r="J15" s="434"/>
      <c r="K15" s="434"/>
      <c r="L15" s="434"/>
      <c r="M15" s="435"/>
    </row>
    <row r="16" spans="1:15">
      <c r="A16" s="436"/>
      <c r="B16" s="434"/>
      <c r="C16" s="434"/>
      <c r="D16" s="434"/>
      <c r="E16" s="434"/>
      <c r="F16" s="434"/>
      <c r="G16" s="434"/>
      <c r="H16" s="434"/>
      <c r="I16" s="434"/>
      <c r="J16" s="434"/>
      <c r="K16" s="434"/>
      <c r="L16" s="434"/>
      <c r="M16" s="435"/>
    </row>
    <row r="17" spans="1:13">
      <c r="A17" s="436"/>
      <c r="B17" s="434"/>
      <c r="C17" s="434"/>
      <c r="D17" s="434"/>
      <c r="E17" s="434"/>
      <c r="F17" s="434"/>
      <c r="G17" s="434"/>
      <c r="H17" s="434"/>
      <c r="I17" s="434"/>
      <c r="J17" s="434"/>
      <c r="K17" s="434"/>
      <c r="L17" s="434"/>
      <c r="M17" s="435"/>
    </row>
    <row r="18" spans="1:13" ht="26.25" customHeight="1">
      <c r="A18" s="437"/>
      <c r="B18" s="438"/>
      <c r="C18" s="438"/>
      <c r="D18" s="438"/>
      <c r="E18" s="438"/>
      <c r="F18" s="438"/>
      <c r="G18" s="438"/>
      <c r="H18" s="438"/>
      <c r="I18" s="438"/>
      <c r="J18" s="438"/>
      <c r="K18" s="438"/>
      <c r="L18" s="438"/>
      <c r="M18" s="439"/>
    </row>
    <row r="19" spans="1:13">
      <c r="A19" s="111" t="s">
        <v>41</v>
      </c>
      <c r="B19" s="420" t="s">
        <v>2869</v>
      </c>
      <c r="C19" s="421"/>
      <c r="D19" s="421"/>
      <c r="E19" s="421"/>
      <c r="F19" s="421"/>
      <c r="G19" s="422"/>
      <c r="H19" s="408" t="s">
        <v>42</v>
      </c>
      <c r="I19" s="417"/>
      <c r="J19" s="418"/>
      <c r="K19" s="408" t="s">
        <v>43</v>
      </c>
      <c r="L19" s="417"/>
      <c r="M19" s="419"/>
    </row>
    <row r="20" spans="1:13" ht="13.8" thickBot="1">
      <c r="A20" s="459"/>
      <c r="B20" s="460"/>
      <c r="C20" s="460"/>
      <c r="D20" s="460"/>
      <c r="E20" s="460"/>
      <c r="F20" s="460"/>
      <c r="G20" s="461"/>
      <c r="H20" s="462">
        <v>75</v>
      </c>
      <c r="I20" s="413"/>
      <c r="J20" s="463"/>
      <c r="K20" s="412">
        <v>3080</v>
      </c>
      <c r="L20" s="464"/>
      <c r="M20" s="465"/>
    </row>
    <row r="21" spans="1:13">
      <c r="A21" s="107" t="s">
        <v>39</v>
      </c>
      <c r="B21" s="108" t="s">
        <v>1</v>
      </c>
      <c r="C21" s="396" t="s">
        <v>82</v>
      </c>
      <c r="D21" s="397"/>
      <c r="E21" s="397"/>
      <c r="F21" s="398"/>
      <c r="G21" s="393"/>
      <c r="H21" s="394"/>
      <c r="I21" s="394"/>
      <c r="J21" s="394"/>
      <c r="K21" s="395"/>
      <c r="L21" s="415" t="s">
        <v>81</v>
      </c>
      <c r="M21" s="416"/>
    </row>
    <row r="22" spans="1:13" ht="12.75" customHeight="1">
      <c r="A22" s="440"/>
      <c r="B22" s="442"/>
      <c r="C22" s="457"/>
      <c r="D22" s="424"/>
      <c r="E22" s="424"/>
      <c r="F22" s="424"/>
      <c r="G22" s="424"/>
      <c r="H22" s="424"/>
      <c r="I22" s="424"/>
      <c r="J22" s="424"/>
      <c r="K22" s="425"/>
      <c r="L22" s="426"/>
      <c r="M22" s="427"/>
    </row>
    <row r="23" spans="1:13" ht="12.75" customHeight="1">
      <c r="A23" s="441"/>
      <c r="B23" s="443"/>
      <c r="C23" s="458"/>
      <c r="D23" s="429"/>
      <c r="E23" s="429"/>
      <c r="F23" s="429"/>
      <c r="G23" s="429"/>
      <c r="H23" s="429"/>
      <c r="I23" s="429"/>
      <c r="J23" s="429"/>
      <c r="K23" s="430"/>
      <c r="L23" s="426"/>
      <c r="M23" s="427"/>
    </row>
    <row r="24" spans="1:13">
      <c r="A24" s="110" t="s">
        <v>40</v>
      </c>
      <c r="B24" s="109"/>
      <c r="C24" s="32"/>
      <c r="D24" s="32"/>
      <c r="E24" s="32"/>
      <c r="F24" s="32"/>
      <c r="G24" s="32"/>
      <c r="H24" s="32"/>
      <c r="I24" s="32"/>
      <c r="J24" s="32"/>
      <c r="K24" s="32"/>
      <c r="L24" s="32"/>
      <c r="M24" s="70"/>
    </row>
    <row r="25" spans="1:13">
      <c r="A25" s="433"/>
      <c r="B25" s="434"/>
      <c r="C25" s="434"/>
      <c r="D25" s="434"/>
      <c r="E25" s="434"/>
      <c r="F25" s="434"/>
      <c r="G25" s="434"/>
      <c r="H25" s="434"/>
      <c r="I25" s="434"/>
      <c r="J25" s="434"/>
      <c r="K25" s="434"/>
      <c r="L25" s="434"/>
      <c r="M25" s="435"/>
    </row>
    <row r="26" spans="1:13">
      <c r="A26" s="436"/>
      <c r="B26" s="434"/>
      <c r="C26" s="434"/>
      <c r="D26" s="434"/>
      <c r="E26" s="434"/>
      <c r="F26" s="434"/>
      <c r="G26" s="434"/>
      <c r="H26" s="434"/>
      <c r="I26" s="434"/>
      <c r="J26" s="434"/>
      <c r="K26" s="434"/>
      <c r="L26" s="434"/>
      <c r="M26" s="435"/>
    </row>
    <row r="27" spans="1:13">
      <c r="A27" s="436"/>
      <c r="B27" s="434"/>
      <c r="C27" s="434"/>
      <c r="D27" s="434"/>
      <c r="E27" s="434"/>
      <c r="F27" s="434"/>
      <c r="G27" s="434"/>
      <c r="H27" s="434"/>
      <c r="I27" s="434"/>
      <c r="J27" s="434"/>
      <c r="K27" s="434"/>
      <c r="L27" s="434"/>
      <c r="M27" s="435"/>
    </row>
    <row r="28" spans="1:13">
      <c r="A28" s="437"/>
      <c r="B28" s="438"/>
      <c r="C28" s="438"/>
      <c r="D28" s="438"/>
      <c r="E28" s="438"/>
      <c r="F28" s="438"/>
      <c r="G28" s="438"/>
      <c r="H28" s="438"/>
      <c r="I28" s="438"/>
      <c r="J28" s="438"/>
      <c r="K28" s="438"/>
      <c r="L28" s="438"/>
      <c r="M28" s="439"/>
    </row>
    <row r="29" spans="1:13">
      <c r="A29" s="111" t="s">
        <v>41</v>
      </c>
      <c r="B29" s="487"/>
      <c r="C29" s="421"/>
      <c r="D29" s="421"/>
      <c r="E29" s="421"/>
      <c r="F29" s="421"/>
      <c r="G29" s="422"/>
      <c r="H29" s="408" t="s">
        <v>42</v>
      </c>
      <c r="I29" s="417"/>
      <c r="J29" s="418"/>
      <c r="K29" s="408" t="s">
        <v>43</v>
      </c>
      <c r="L29" s="417"/>
      <c r="M29" s="419"/>
    </row>
    <row r="30" spans="1:13" ht="13.8" thickBot="1">
      <c r="A30" s="466"/>
      <c r="B30" s="467"/>
      <c r="C30" s="467"/>
      <c r="D30" s="467"/>
      <c r="E30" s="467"/>
      <c r="F30" s="467"/>
      <c r="G30" s="468"/>
      <c r="H30" s="462"/>
      <c r="I30" s="413"/>
      <c r="J30" s="463"/>
      <c r="K30" s="412"/>
      <c r="L30" s="464"/>
      <c r="M30" s="465"/>
    </row>
    <row r="31" spans="1:13">
      <c r="A31" s="107" t="s">
        <v>39</v>
      </c>
      <c r="B31" s="108" t="s">
        <v>1</v>
      </c>
      <c r="C31" s="396" t="s">
        <v>82</v>
      </c>
      <c r="D31" s="397"/>
      <c r="E31" s="397"/>
      <c r="F31" s="398"/>
      <c r="G31" s="394"/>
      <c r="H31" s="394"/>
      <c r="I31" s="394"/>
      <c r="J31" s="394"/>
      <c r="K31" s="395"/>
      <c r="L31" s="415" t="s">
        <v>81</v>
      </c>
      <c r="M31" s="416"/>
    </row>
    <row r="32" spans="1:13" ht="12.75" customHeight="1">
      <c r="A32" s="440"/>
      <c r="B32" s="442"/>
      <c r="C32" s="423"/>
      <c r="D32" s="424"/>
      <c r="E32" s="424"/>
      <c r="F32" s="424"/>
      <c r="G32" s="424"/>
      <c r="H32" s="424"/>
      <c r="I32" s="424"/>
      <c r="J32" s="424"/>
      <c r="K32" s="425"/>
      <c r="L32" s="426"/>
      <c r="M32" s="427"/>
    </row>
    <row r="33" spans="1:13" ht="12.75" customHeight="1">
      <c r="A33" s="441"/>
      <c r="B33" s="443"/>
      <c r="C33" s="428"/>
      <c r="D33" s="429"/>
      <c r="E33" s="429"/>
      <c r="F33" s="429"/>
      <c r="G33" s="429"/>
      <c r="H33" s="429"/>
      <c r="I33" s="429"/>
      <c r="J33" s="429"/>
      <c r="K33" s="430"/>
      <c r="L33" s="426"/>
      <c r="M33" s="427"/>
    </row>
    <row r="34" spans="1:13" ht="12.75" customHeight="1">
      <c r="A34" s="110" t="s">
        <v>40</v>
      </c>
      <c r="B34" s="109"/>
      <c r="C34" s="32"/>
      <c r="D34" s="32"/>
      <c r="E34" s="32"/>
      <c r="F34" s="32"/>
      <c r="G34" s="32"/>
      <c r="H34" s="32"/>
      <c r="I34" s="32"/>
      <c r="J34" s="32"/>
      <c r="K34" s="32"/>
      <c r="L34" s="32"/>
      <c r="M34" s="70"/>
    </row>
    <row r="35" spans="1:13">
      <c r="A35" s="433"/>
      <c r="B35" s="434"/>
      <c r="C35" s="434"/>
      <c r="D35" s="434"/>
      <c r="E35" s="434"/>
      <c r="F35" s="434"/>
      <c r="G35" s="434"/>
      <c r="H35" s="434"/>
      <c r="I35" s="434"/>
      <c r="J35" s="434"/>
      <c r="K35" s="434"/>
      <c r="L35" s="434"/>
      <c r="M35" s="435"/>
    </row>
    <row r="36" spans="1:13">
      <c r="A36" s="436"/>
      <c r="B36" s="434"/>
      <c r="C36" s="434"/>
      <c r="D36" s="434"/>
      <c r="E36" s="434"/>
      <c r="F36" s="434"/>
      <c r="G36" s="434"/>
      <c r="H36" s="434"/>
      <c r="I36" s="434"/>
      <c r="J36" s="434"/>
      <c r="K36" s="434"/>
      <c r="L36" s="434"/>
      <c r="M36" s="435"/>
    </row>
    <row r="37" spans="1:13">
      <c r="A37" s="436"/>
      <c r="B37" s="434"/>
      <c r="C37" s="434"/>
      <c r="D37" s="434"/>
      <c r="E37" s="434"/>
      <c r="F37" s="434"/>
      <c r="G37" s="434"/>
      <c r="H37" s="434"/>
      <c r="I37" s="434"/>
      <c r="J37" s="434"/>
      <c r="K37" s="434"/>
      <c r="L37" s="434"/>
      <c r="M37" s="435"/>
    </row>
    <row r="38" spans="1:13">
      <c r="A38" s="437"/>
      <c r="B38" s="438"/>
      <c r="C38" s="438"/>
      <c r="D38" s="438"/>
      <c r="E38" s="438"/>
      <c r="F38" s="438"/>
      <c r="G38" s="438"/>
      <c r="H38" s="438"/>
      <c r="I38" s="438"/>
      <c r="J38" s="438"/>
      <c r="K38" s="438"/>
      <c r="L38" s="438"/>
      <c r="M38" s="439"/>
    </row>
    <row r="39" spans="1:13">
      <c r="A39" s="111" t="s">
        <v>41</v>
      </c>
      <c r="B39" s="420"/>
      <c r="C39" s="421"/>
      <c r="D39" s="421"/>
      <c r="E39" s="421"/>
      <c r="F39" s="421"/>
      <c r="G39" s="422"/>
      <c r="H39" s="408" t="s">
        <v>42</v>
      </c>
      <c r="I39" s="417"/>
      <c r="J39" s="418"/>
      <c r="K39" s="408" t="s">
        <v>43</v>
      </c>
      <c r="L39" s="417"/>
      <c r="M39" s="419"/>
    </row>
    <row r="40" spans="1:13" ht="13.8" thickBot="1">
      <c r="A40" s="466"/>
      <c r="B40" s="467"/>
      <c r="C40" s="467"/>
      <c r="D40" s="467"/>
      <c r="E40" s="467"/>
      <c r="F40" s="467"/>
      <c r="G40" s="468"/>
      <c r="H40" s="462"/>
      <c r="I40" s="413"/>
      <c r="J40" s="463"/>
      <c r="K40" s="412"/>
      <c r="L40" s="464"/>
      <c r="M40" s="465"/>
    </row>
    <row r="41" spans="1:13">
      <c r="A41" s="107" t="s">
        <v>39</v>
      </c>
      <c r="B41" s="108" t="s">
        <v>1</v>
      </c>
      <c r="C41" s="396" t="s">
        <v>82</v>
      </c>
      <c r="D41" s="397"/>
      <c r="E41" s="397"/>
      <c r="F41" s="398"/>
      <c r="G41" s="394"/>
      <c r="H41" s="394"/>
      <c r="I41" s="394"/>
      <c r="J41" s="394"/>
      <c r="K41" s="395"/>
      <c r="L41" s="415" t="s">
        <v>81</v>
      </c>
      <c r="M41" s="416"/>
    </row>
    <row r="42" spans="1:13" ht="12.75" customHeight="1">
      <c r="A42" s="440"/>
      <c r="B42" s="442"/>
      <c r="C42" s="423"/>
      <c r="D42" s="424"/>
      <c r="E42" s="424"/>
      <c r="F42" s="424"/>
      <c r="G42" s="424"/>
      <c r="H42" s="424"/>
      <c r="I42" s="424"/>
      <c r="J42" s="424"/>
      <c r="K42" s="425"/>
      <c r="L42" s="426"/>
      <c r="M42" s="427"/>
    </row>
    <row r="43" spans="1:13" ht="12.75" customHeight="1">
      <c r="A43" s="441"/>
      <c r="B43" s="443"/>
      <c r="C43" s="428"/>
      <c r="D43" s="429"/>
      <c r="E43" s="429"/>
      <c r="F43" s="429"/>
      <c r="G43" s="429"/>
      <c r="H43" s="429"/>
      <c r="I43" s="429"/>
      <c r="J43" s="429"/>
      <c r="K43" s="430"/>
      <c r="L43" s="426"/>
      <c r="M43" s="427"/>
    </row>
    <row r="44" spans="1:13" ht="12.75" customHeight="1">
      <c r="A44" s="110" t="s">
        <v>40</v>
      </c>
      <c r="B44" s="109"/>
      <c r="C44" s="32"/>
      <c r="D44" s="32"/>
      <c r="E44" s="32"/>
      <c r="F44" s="32"/>
      <c r="G44" s="32"/>
      <c r="H44" s="32"/>
      <c r="I44" s="32"/>
      <c r="J44" s="32"/>
      <c r="K44" s="32"/>
      <c r="L44" s="32"/>
      <c r="M44" s="70"/>
    </row>
    <row r="45" spans="1:13">
      <c r="A45" s="433"/>
      <c r="B45" s="434"/>
      <c r="C45" s="434"/>
      <c r="D45" s="434"/>
      <c r="E45" s="434"/>
      <c r="F45" s="434"/>
      <c r="G45" s="434"/>
      <c r="H45" s="434"/>
      <c r="I45" s="434"/>
      <c r="J45" s="434"/>
      <c r="K45" s="434"/>
      <c r="L45" s="434"/>
      <c r="M45" s="435"/>
    </row>
    <row r="46" spans="1:13">
      <c r="A46" s="436"/>
      <c r="B46" s="434"/>
      <c r="C46" s="434"/>
      <c r="D46" s="434"/>
      <c r="E46" s="434"/>
      <c r="F46" s="434"/>
      <c r="G46" s="434"/>
      <c r="H46" s="434"/>
      <c r="I46" s="434"/>
      <c r="J46" s="434"/>
      <c r="K46" s="434"/>
      <c r="L46" s="434"/>
      <c r="M46" s="435"/>
    </row>
    <row r="47" spans="1:13">
      <c r="A47" s="436"/>
      <c r="B47" s="434"/>
      <c r="C47" s="434"/>
      <c r="D47" s="434"/>
      <c r="E47" s="434"/>
      <c r="F47" s="434"/>
      <c r="G47" s="434"/>
      <c r="H47" s="434"/>
      <c r="I47" s="434"/>
      <c r="J47" s="434"/>
      <c r="K47" s="434"/>
      <c r="L47" s="434"/>
      <c r="M47" s="435"/>
    </row>
    <row r="48" spans="1:13">
      <c r="A48" s="437"/>
      <c r="B48" s="438"/>
      <c r="C48" s="438"/>
      <c r="D48" s="438"/>
      <c r="E48" s="438"/>
      <c r="F48" s="438"/>
      <c r="G48" s="438"/>
      <c r="H48" s="438"/>
      <c r="I48" s="438"/>
      <c r="J48" s="438"/>
      <c r="K48" s="438"/>
      <c r="L48" s="438"/>
      <c r="M48" s="439"/>
    </row>
    <row r="49" spans="1:13">
      <c r="A49" s="111" t="s">
        <v>41</v>
      </c>
      <c r="B49" s="420"/>
      <c r="C49" s="421"/>
      <c r="D49" s="421"/>
      <c r="E49" s="421"/>
      <c r="F49" s="421"/>
      <c r="G49" s="422"/>
      <c r="H49" s="408" t="s">
        <v>42</v>
      </c>
      <c r="I49" s="417"/>
      <c r="J49" s="418"/>
      <c r="K49" s="408" t="s">
        <v>43</v>
      </c>
      <c r="L49" s="417"/>
      <c r="M49" s="419"/>
    </row>
    <row r="50" spans="1:13" ht="13.8" thickBot="1">
      <c r="A50" s="459"/>
      <c r="B50" s="460"/>
      <c r="C50" s="460"/>
      <c r="D50" s="460"/>
      <c r="E50" s="460"/>
      <c r="F50" s="460"/>
      <c r="G50" s="461"/>
      <c r="H50" s="462"/>
      <c r="I50" s="413"/>
      <c r="J50" s="463"/>
      <c r="K50" s="412"/>
      <c r="L50" s="464"/>
      <c r="M50" s="465"/>
    </row>
    <row r="51" spans="1:13">
      <c r="A51" s="484" t="s">
        <v>44</v>
      </c>
      <c r="B51" s="431"/>
      <c r="C51" s="485"/>
      <c r="D51" s="486" t="s">
        <v>45</v>
      </c>
      <c r="E51" s="431"/>
      <c r="F51" s="485"/>
      <c r="G51" s="486" t="s">
        <v>46</v>
      </c>
      <c r="H51" s="431"/>
      <c r="I51" s="431"/>
      <c r="J51" s="485"/>
      <c r="K51" s="431" t="s">
        <v>125</v>
      </c>
      <c r="L51" s="431"/>
      <c r="M51" s="432"/>
    </row>
    <row r="52" spans="1:13">
      <c r="A52" s="469" t="str">
        <f>'Summary Sheet'!E67</f>
        <v>Vernon Lansford</v>
      </c>
      <c r="B52" s="470"/>
      <c r="C52" s="471"/>
      <c r="D52" s="475" t="str">
        <f>'Summary Sheet'!G67</f>
        <v>FEMA</v>
      </c>
      <c r="E52" s="470"/>
      <c r="F52" s="471"/>
      <c r="G52" s="475" t="str">
        <f>IF('Bosque Co'!G52=0,"",'Bosque Co'!G52)</f>
        <v/>
      </c>
      <c r="H52" s="470"/>
      <c r="I52" s="470"/>
      <c r="J52" s="471"/>
      <c r="K52" s="478" t="str">
        <f>'Summary Sheet'!I67</f>
        <v>225-910-5272</v>
      </c>
      <c r="L52" s="479"/>
      <c r="M52" s="480"/>
    </row>
    <row r="53" spans="1:13">
      <c r="A53" s="472"/>
      <c r="B53" s="473"/>
      <c r="C53" s="474"/>
      <c r="D53" s="476"/>
      <c r="E53" s="473"/>
      <c r="F53" s="474"/>
      <c r="G53" s="476"/>
      <c r="H53" s="473"/>
      <c r="I53" s="473"/>
      <c r="J53" s="474"/>
      <c r="K53" s="481"/>
      <c r="L53" s="482"/>
      <c r="M53" s="483"/>
    </row>
    <row r="54" spans="1:13" ht="13.8" thickBot="1">
      <c r="A54" s="38" t="s">
        <v>47</v>
      </c>
      <c r="B54" s="39"/>
      <c r="C54" s="40"/>
      <c r="D54" s="40"/>
      <c r="E54" s="40"/>
      <c r="F54" s="40"/>
      <c r="G54" s="410" t="s">
        <v>119</v>
      </c>
      <c r="H54" s="410"/>
      <c r="I54" s="410"/>
      <c r="J54" s="411"/>
      <c r="K54" s="412">
        <f>+K20+K30+K40+K50</f>
        <v>3080</v>
      </c>
      <c r="L54" s="413"/>
      <c r="M54" s="414"/>
    </row>
    <row r="55" spans="1:13" ht="2.25" customHeight="1"/>
    <row r="56" spans="1:13">
      <c r="A56" s="33" t="s">
        <v>64</v>
      </c>
      <c r="D56" s="34" t="s">
        <v>70</v>
      </c>
      <c r="G56" s="33" t="s">
        <v>75</v>
      </c>
      <c r="K56" s="71" t="s">
        <v>104</v>
      </c>
    </row>
    <row r="57" spans="1:13">
      <c r="A57" s="33" t="s">
        <v>78</v>
      </c>
      <c r="D57" s="33" t="s">
        <v>69</v>
      </c>
      <c r="G57" s="33" t="s">
        <v>76</v>
      </c>
      <c r="K57" s="71" t="s">
        <v>105</v>
      </c>
    </row>
    <row r="58" spans="1:13">
      <c r="A58" s="33" t="s">
        <v>79</v>
      </c>
      <c r="D58" s="33" t="s">
        <v>71</v>
      </c>
      <c r="G58" s="33" t="s">
        <v>77</v>
      </c>
      <c r="K58" s="71" t="s">
        <v>106</v>
      </c>
    </row>
    <row r="59" spans="1:13">
      <c r="A59" s="33" t="s">
        <v>65</v>
      </c>
      <c r="D59" s="34" t="s">
        <v>84</v>
      </c>
      <c r="E59" s="35"/>
      <c r="F59" s="35"/>
      <c r="G59" s="33" t="s">
        <v>72</v>
      </c>
      <c r="K59" s="71" t="s">
        <v>109</v>
      </c>
    </row>
    <row r="60" spans="1:13">
      <c r="A60" s="33" t="s">
        <v>66</v>
      </c>
      <c r="D60" s="34" t="s">
        <v>85</v>
      </c>
      <c r="G60" s="71" t="s">
        <v>107</v>
      </c>
      <c r="K60" s="71" t="s">
        <v>110</v>
      </c>
    </row>
    <row r="61" spans="1:13">
      <c r="A61" s="33" t="s">
        <v>67</v>
      </c>
      <c r="D61" s="33" t="s">
        <v>73</v>
      </c>
      <c r="G61" s="71" t="s">
        <v>108</v>
      </c>
      <c r="K61" s="71" t="s">
        <v>111</v>
      </c>
    </row>
    <row r="62" spans="1:13">
      <c r="A62" s="33" t="s">
        <v>68</v>
      </c>
      <c r="D62" s="33" t="s">
        <v>74</v>
      </c>
      <c r="G62" s="71" t="s">
        <v>103</v>
      </c>
      <c r="K62" s="71" t="s">
        <v>112</v>
      </c>
    </row>
  </sheetData>
  <mergeCells count="89">
    <mergeCell ref="A7:L7"/>
    <mergeCell ref="A1:K1"/>
    <mergeCell ref="L1:M1"/>
    <mergeCell ref="A2:K2"/>
    <mergeCell ref="L2:M2"/>
    <mergeCell ref="A3:M3"/>
    <mergeCell ref="A4:B4"/>
    <mergeCell ref="C4:F4"/>
    <mergeCell ref="G4:K4"/>
    <mergeCell ref="L4:M4"/>
    <mergeCell ref="A5:B5"/>
    <mergeCell ref="C5:F5"/>
    <mergeCell ref="G5:K5"/>
    <mergeCell ref="L5:M5"/>
    <mergeCell ref="A6:M6"/>
    <mergeCell ref="C11:F11"/>
    <mergeCell ref="G11:K11"/>
    <mergeCell ref="L11:M11"/>
    <mergeCell ref="A12:A13"/>
    <mergeCell ref="B12:B13"/>
    <mergeCell ref="C12:K12"/>
    <mergeCell ref="L12:M12"/>
    <mergeCell ref="C13:K13"/>
    <mergeCell ref="L13:M13"/>
    <mergeCell ref="A15:M18"/>
    <mergeCell ref="B19:G19"/>
    <mergeCell ref="H19:J19"/>
    <mergeCell ref="K19:M19"/>
    <mergeCell ref="A20:G20"/>
    <mergeCell ref="H20:J20"/>
    <mergeCell ref="K20:M20"/>
    <mergeCell ref="C21:F21"/>
    <mergeCell ref="G21:K21"/>
    <mergeCell ref="L21:M21"/>
    <mergeCell ref="A22:A23"/>
    <mergeCell ref="B22:B23"/>
    <mergeCell ref="C22:K22"/>
    <mergeCell ref="L22:M22"/>
    <mergeCell ref="C23:K23"/>
    <mergeCell ref="L23:M23"/>
    <mergeCell ref="A25:M28"/>
    <mergeCell ref="B29:G29"/>
    <mergeCell ref="H29:J29"/>
    <mergeCell ref="K29:M29"/>
    <mergeCell ref="A30:G30"/>
    <mergeCell ref="H30:J30"/>
    <mergeCell ref="K30:M30"/>
    <mergeCell ref="C31:F31"/>
    <mergeCell ref="G31:K31"/>
    <mergeCell ref="L31:M31"/>
    <mergeCell ref="A32:A33"/>
    <mergeCell ref="B32:B33"/>
    <mergeCell ref="C32:K32"/>
    <mergeCell ref="L32:M32"/>
    <mergeCell ref="C33:K33"/>
    <mergeCell ref="L33:M33"/>
    <mergeCell ref="A35:M38"/>
    <mergeCell ref="B39:G39"/>
    <mergeCell ref="H39:J39"/>
    <mergeCell ref="K39:M39"/>
    <mergeCell ref="A40:G40"/>
    <mergeCell ref="H40:J40"/>
    <mergeCell ref="K40:M40"/>
    <mergeCell ref="C41:F41"/>
    <mergeCell ref="G41:K41"/>
    <mergeCell ref="L41:M41"/>
    <mergeCell ref="A42:A43"/>
    <mergeCell ref="B42:B43"/>
    <mergeCell ref="C42:K42"/>
    <mergeCell ref="L42:M42"/>
    <mergeCell ref="C43:K43"/>
    <mergeCell ref="L43:M43"/>
    <mergeCell ref="A45:M48"/>
    <mergeCell ref="B49:G49"/>
    <mergeCell ref="H49:J49"/>
    <mergeCell ref="K49:M49"/>
    <mergeCell ref="A50:G50"/>
    <mergeCell ref="H50:J50"/>
    <mergeCell ref="K50:M50"/>
    <mergeCell ref="G54:J54"/>
    <mergeCell ref="K54:M54"/>
    <mergeCell ref="A51:C51"/>
    <mergeCell ref="D51:F51"/>
    <mergeCell ref="G51:J51"/>
    <mergeCell ref="K51:M51"/>
    <mergeCell ref="A52:C53"/>
    <mergeCell ref="D52:F53"/>
    <mergeCell ref="G52:J53"/>
    <mergeCell ref="K52:M53"/>
  </mergeCells>
  <pageMargins left="0.5" right="0.5" top="0.5" bottom="0.25" header="0" footer="0.25"/>
  <pageSetup scale="94" orientation="portrait" r:id="rId1"/>
  <headerFooter alignWithMargins="0">
    <oddFooter>&amp;L&amp;8&amp;F  &amp;D&amp;C&amp;12 2</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pageSetUpPr fitToPage="1"/>
  </sheetPr>
  <dimension ref="A1:O62"/>
  <sheetViews>
    <sheetView zoomScale="85" zoomScaleNormal="85" workbookViewId="0">
      <selection activeCell="G52" sqref="G52:J53"/>
    </sheetView>
  </sheetViews>
  <sheetFormatPr defaultRowHeight="13.2"/>
  <cols>
    <col min="8" max="8" width="5.5546875" customWidth="1"/>
    <col min="9" max="9" width="5.6640625" customWidth="1"/>
    <col min="10" max="10" width="3.6640625" customWidth="1"/>
    <col min="11" max="11" width="7.109375" customWidth="1"/>
  </cols>
  <sheetData>
    <row r="1" spans="1:15">
      <c r="A1" s="387" t="s">
        <v>23</v>
      </c>
      <c r="B1" s="388"/>
      <c r="C1" s="388"/>
      <c r="D1" s="388"/>
      <c r="E1" s="388"/>
      <c r="F1" s="388"/>
      <c r="G1" s="388"/>
      <c r="H1" s="388"/>
      <c r="I1" s="388"/>
      <c r="J1" s="388"/>
      <c r="K1" s="389"/>
      <c r="L1" s="406" t="s">
        <v>24</v>
      </c>
      <c r="M1" s="407"/>
    </row>
    <row r="2" spans="1:15">
      <c r="A2" s="390" t="s">
        <v>25</v>
      </c>
      <c r="B2" s="391"/>
      <c r="C2" s="391"/>
      <c r="D2" s="391"/>
      <c r="E2" s="391"/>
      <c r="F2" s="391"/>
      <c r="G2" s="391"/>
      <c r="H2" s="391"/>
      <c r="I2" s="391"/>
      <c r="J2" s="391"/>
      <c r="K2" s="392"/>
      <c r="L2" s="404"/>
      <c r="M2" s="405"/>
    </row>
    <row r="3" spans="1:15">
      <c r="A3" s="401" t="s">
        <v>26</v>
      </c>
      <c r="B3" s="402"/>
      <c r="C3" s="402"/>
      <c r="D3" s="402"/>
      <c r="E3" s="402"/>
      <c r="F3" s="402"/>
      <c r="G3" s="402"/>
      <c r="H3" s="402"/>
      <c r="I3" s="402"/>
      <c r="J3" s="402"/>
      <c r="K3" s="402"/>
      <c r="L3" s="402"/>
      <c r="M3" s="403"/>
    </row>
    <row r="4" spans="1:15">
      <c r="A4" s="451" t="s">
        <v>27</v>
      </c>
      <c r="B4" s="452"/>
      <c r="C4" s="408" t="s">
        <v>28</v>
      </c>
      <c r="D4" s="409"/>
      <c r="E4" s="409"/>
      <c r="F4" s="452"/>
      <c r="G4" s="408" t="s">
        <v>29</v>
      </c>
      <c r="H4" s="409"/>
      <c r="I4" s="409"/>
      <c r="J4" s="409"/>
      <c r="K4" s="409"/>
      <c r="L4" s="444" t="s">
        <v>83</v>
      </c>
      <c r="M4" s="445"/>
    </row>
    <row r="5" spans="1:15">
      <c r="A5" s="453"/>
      <c r="B5" s="454"/>
      <c r="C5" s="455"/>
      <c r="D5" s="456"/>
      <c r="E5" s="456"/>
      <c r="F5" s="454"/>
      <c r="G5" s="448"/>
      <c r="H5" s="449"/>
      <c r="I5" s="449"/>
      <c r="J5" s="449"/>
      <c r="K5" s="450"/>
      <c r="L5" s="446"/>
      <c r="M5" s="447"/>
    </row>
    <row r="6" spans="1:15">
      <c r="A6" s="401" t="s">
        <v>30</v>
      </c>
      <c r="B6" s="402"/>
      <c r="C6" s="402"/>
      <c r="D6" s="402"/>
      <c r="E6" s="402"/>
      <c r="F6" s="402"/>
      <c r="G6" s="402"/>
      <c r="H6" s="402"/>
      <c r="I6" s="402"/>
      <c r="J6" s="402"/>
      <c r="K6" s="402"/>
      <c r="L6" s="402"/>
      <c r="M6" s="403"/>
    </row>
    <row r="7" spans="1:15">
      <c r="A7" s="399" t="s">
        <v>31</v>
      </c>
      <c r="B7" s="400"/>
      <c r="C7" s="400"/>
      <c r="D7" s="400"/>
      <c r="E7" s="400"/>
      <c r="F7" s="400"/>
      <c r="G7" s="400"/>
      <c r="H7" s="400"/>
      <c r="I7" s="400"/>
      <c r="J7" s="400"/>
      <c r="K7" s="400"/>
      <c r="L7" s="400"/>
      <c r="M7" s="100"/>
    </row>
    <row r="8" spans="1:15">
      <c r="A8" s="101" t="s">
        <v>18</v>
      </c>
      <c r="B8" s="99" t="s">
        <v>32</v>
      </c>
      <c r="C8" s="99"/>
      <c r="D8" s="102"/>
      <c r="E8" s="99" t="s">
        <v>33</v>
      </c>
      <c r="F8" s="99"/>
      <c r="G8" s="99"/>
      <c r="H8" s="99"/>
      <c r="I8" s="99" t="s">
        <v>34</v>
      </c>
      <c r="J8" s="99"/>
      <c r="K8" s="99"/>
      <c r="L8" s="99"/>
      <c r="M8" s="100"/>
    </row>
    <row r="9" spans="1:15">
      <c r="A9" s="101"/>
      <c r="B9" s="99" t="s">
        <v>35</v>
      </c>
      <c r="C9" s="99"/>
      <c r="D9" s="99"/>
      <c r="E9" s="99" t="s">
        <v>36</v>
      </c>
      <c r="F9" s="99"/>
      <c r="G9" s="102"/>
      <c r="H9" s="102"/>
      <c r="I9" s="102"/>
      <c r="J9" s="102"/>
      <c r="K9" s="102"/>
      <c r="L9" s="102"/>
      <c r="M9" s="100"/>
    </row>
    <row r="10" spans="1:15" ht="13.8" thickBot="1">
      <c r="A10" s="103"/>
      <c r="B10" s="104" t="s">
        <v>37</v>
      </c>
      <c r="C10" s="104"/>
      <c r="D10" s="104"/>
      <c r="E10" s="104" t="s">
        <v>38</v>
      </c>
      <c r="F10" s="104"/>
      <c r="G10" s="105"/>
      <c r="H10" s="105"/>
      <c r="I10" s="105"/>
      <c r="J10" s="105"/>
      <c r="K10" s="105"/>
      <c r="L10" s="105"/>
      <c r="M10" s="106"/>
    </row>
    <row r="11" spans="1:15">
      <c r="A11" s="107" t="s">
        <v>39</v>
      </c>
      <c r="B11" s="108" t="s">
        <v>1</v>
      </c>
      <c r="C11" s="396" t="s">
        <v>82</v>
      </c>
      <c r="D11" s="397"/>
      <c r="E11" s="397"/>
      <c r="F11" s="398"/>
      <c r="G11" s="393"/>
      <c r="H11" s="394"/>
      <c r="I11" s="394"/>
      <c r="J11" s="394"/>
      <c r="K11" s="395"/>
      <c r="L11" s="415" t="s">
        <v>81</v>
      </c>
      <c r="M11" s="416"/>
      <c r="O11" t="s">
        <v>124</v>
      </c>
    </row>
    <row r="12" spans="1:15">
      <c r="A12" s="440"/>
      <c r="B12" s="442"/>
      <c r="C12" s="457"/>
      <c r="D12" s="424"/>
      <c r="E12" s="424"/>
      <c r="F12" s="424"/>
      <c r="G12" s="424"/>
      <c r="H12" s="424"/>
      <c r="I12" s="424"/>
      <c r="J12" s="424"/>
      <c r="K12" s="425"/>
      <c r="L12" s="426"/>
      <c r="M12" s="427"/>
    </row>
    <row r="13" spans="1:15">
      <c r="A13" s="441"/>
      <c r="B13" s="443"/>
      <c r="C13" s="458"/>
      <c r="D13" s="429"/>
      <c r="E13" s="429"/>
      <c r="F13" s="429"/>
      <c r="G13" s="429"/>
      <c r="H13" s="429"/>
      <c r="I13" s="429"/>
      <c r="J13" s="429"/>
      <c r="K13" s="430"/>
      <c r="L13" s="426"/>
      <c r="M13" s="427"/>
    </row>
    <row r="14" spans="1:15">
      <c r="A14" s="110" t="s">
        <v>40</v>
      </c>
      <c r="B14" s="109"/>
      <c r="C14" s="32"/>
      <c r="D14" s="32"/>
      <c r="E14" s="32"/>
      <c r="F14" s="32"/>
      <c r="G14" s="32"/>
      <c r="H14" s="32"/>
      <c r="I14" s="32"/>
      <c r="J14" s="32"/>
      <c r="K14" s="32"/>
      <c r="L14" s="32"/>
      <c r="M14" s="70"/>
    </row>
    <row r="15" spans="1:15">
      <c r="A15" s="433"/>
      <c r="B15" s="434"/>
      <c r="C15" s="434"/>
      <c r="D15" s="434"/>
      <c r="E15" s="434"/>
      <c r="F15" s="434"/>
      <c r="G15" s="434"/>
      <c r="H15" s="434"/>
      <c r="I15" s="434"/>
      <c r="J15" s="434"/>
      <c r="K15" s="434"/>
      <c r="L15" s="434"/>
      <c r="M15" s="435"/>
    </row>
    <row r="16" spans="1:15">
      <c r="A16" s="436"/>
      <c r="B16" s="434"/>
      <c r="C16" s="434"/>
      <c r="D16" s="434"/>
      <c r="E16" s="434"/>
      <c r="F16" s="434"/>
      <c r="G16" s="434"/>
      <c r="H16" s="434"/>
      <c r="I16" s="434"/>
      <c r="J16" s="434"/>
      <c r="K16" s="434"/>
      <c r="L16" s="434"/>
      <c r="M16" s="435"/>
    </row>
    <row r="17" spans="1:13">
      <c r="A17" s="436"/>
      <c r="B17" s="434"/>
      <c r="C17" s="434"/>
      <c r="D17" s="434"/>
      <c r="E17" s="434"/>
      <c r="F17" s="434"/>
      <c r="G17" s="434"/>
      <c r="H17" s="434"/>
      <c r="I17" s="434"/>
      <c r="J17" s="434"/>
      <c r="K17" s="434"/>
      <c r="L17" s="434"/>
      <c r="M17" s="435"/>
    </row>
    <row r="18" spans="1:13" ht="26.25" customHeight="1">
      <c r="A18" s="437"/>
      <c r="B18" s="438"/>
      <c r="C18" s="438"/>
      <c r="D18" s="438"/>
      <c r="E18" s="438"/>
      <c r="F18" s="438"/>
      <c r="G18" s="438"/>
      <c r="H18" s="438"/>
      <c r="I18" s="438"/>
      <c r="J18" s="438"/>
      <c r="K18" s="438"/>
      <c r="L18" s="438"/>
      <c r="M18" s="439"/>
    </row>
    <row r="19" spans="1:13">
      <c r="A19" s="111" t="s">
        <v>41</v>
      </c>
      <c r="B19" s="420"/>
      <c r="C19" s="421"/>
      <c r="D19" s="421"/>
      <c r="E19" s="421"/>
      <c r="F19" s="421"/>
      <c r="G19" s="422"/>
      <c r="H19" s="408" t="s">
        <v>42</v>
      </c>
      <c r="I19" s="417"/>
      <c r="J19" s="418"/>
      <c r="K19" s="408" t="s">
        <v>43</v>
      </c>
      <c r="L19" s="417"/>
      <c r="M19" s="419"/>
    </row>
    <row r="20" spans="1:13" ht="13.8" thickBot="1">
      <c r="A20" s="459"/>
      <c r="B20" s="460"/>
      <c r="C20" s="460"/>
      <c r="D20" s="460"/>
      <c r="E20" s="460"/>
      <c r="F20" s="460"/>
      <c r="G20" s="461"/>
      <c r="H20" s="462"/>
      <c r="I20" s="413"/>
      <c r="J20" s="463"/>
      <c r="K20" s="412"/>
      <c r="L20" s="464"/>
      <c r="M20" s="465"/>
    </row>
    <row r="21" spans="1:13">
      <c r="A21" s="107" t="s">
        <v>39</v>
      </c>
      <c r="B21" s="108" t="s">
        <v>1</v>
      </c>
      <c r="C21" s="396" t="s">
        <v>82</v>
      </c>
      <c r="D21" s="397"/>
      <c r="E21" s="397"/>
      <c r="F21" s="398"/>
      <c r="G21" s="393"/>
      <c r="H21" s="394"/>
      <c r="I21" s="394"/>
      <c r="J21" s="394"/>
      <c r="K21" s="395"/>
      <c r="L21" s="415" t="s">
        <v>81</v>
      </c>
      <c r="M21" s="416"/>
    </row>
    <row r="22" spans="1:13" ht="12.75" customHeight="1">
      <c r="A22" s="440"/>
      <c r="B22" s="442"/>
      <c r="C22" s="457"/>
      <c r="D22" s="424"/>
      <c r="E22" s="424"/>
      <c r="F22" s="424"/>
      <c r="G22" s="424"/>
      <c r="H22" s="424"/>
      <c r="I22" s="424"/>
      <c r="J22" s="424"/>
      <c r="K22" s="425"/>
      <c r="L22" s="426"/>
      <c r="M22" s="427"/>
    </row>
    <row r="23" spans="1:13" ht="12.75" customHeight="1">
      <c r="A23" s="441"/>
      <c r="B23" s="443"/>
      <c r="C23" s="458"/>
      <c r="D23" s="429"/>
      <c r="E23" s="429"/>
      <c r="F23" s="429"/>
      <c r="G23" s="429"/>
      <c r="H23" s="429"/>
      <c r="I23" s="429"/>
      <c r="J23" s="429"/>
      <c r="K23" s="430"/>
      <c r="L23" s="426"/>
      <c r="M23" s="427"/>
    </row>
    <row r="24" spans="1:13">
      <c r="A24" s="110" t="s">
        <v>40</v>
      </c>
      <c r="B24" s="109"/>
      <c r="C24" s="32"/>
      <c r="D24" s="32"/>
      <c r="E24" s="32"/>
      <c r="F24" s="32"/>
      <c r="G24" s="32"/>
      <c r="H24" s="32"/>
      <c r="I24" s="32"/>
      <c r="J24" s="32"/>
      <c r="K24" s="32"/>
      <c r="L24" s="32"/>
      <c r="M24" s="70"/>
    </row>
    <row r="25" spans="1:13">
      <c r="A25" s="433"/>
      <c r="B25" s="434"/>
      <c r="C25" s="434"/>
      <c r="D25" s="434"/>
      <c r="E25" s="434"/>
      <c r="F25" s="434"/>
      <c r="G25" s="434"/>
      <c r="H25" s="434"/>
      <c r="I25" s="434"/>
      <c r="J25" s="434"/>
      <c r="K25" s="434"/>
      <c r="L25" s="434"/>
      <c r="M25" s="435"/>
    </row>
    <row r="26" spans="1:13">
      <c r="A26" s="436"/>
      <c r="B26" s="434"/>
      <c r="C26" s="434"/>
      <c r="D26" s="434"/>
      <c r="E26" s="434"/>
      <c r="F26" s="434"/>
      <c r="G26" s="434"/>
      <c r="H26" s="434"/>
      <c r="I26" s="434"/>
      <c r="J26" s="434"/>
      <c r="K26" s="434"/>
      <c r="L26" s="434"/>
      <c r="M26" s="435"/>
    </row>
    <row r="27" spans="1:13">
      <c r="A27" s="436"/>
      <c r="B27" s="434"/>
      <c r="C27" s="434"/>
      <c r="D27" s="434"/>
      <c r="E27" s="434"/>
      <c r="F27" s="434"/>
      <c r="G27" s="434"/>
      <c r="H27" s="434"/>
      <c r="I27" s="434"/>
      <c r="J27" s="434"/>
      <c r="K27" s="434"/>
      <c r="L27" s="434"/>
      <c r="M27" s="435"/>
    </row>
    <row r="28" spans="1:13">
      <c r="A28" s="437"/>
      <c r="B28" s="438"/>
      <c r="C28" s="438"/>
      <c r="D28" s="438"/>
      <c r="E28" s="438"/>
      <c r="F28" s="438"/>
      <c r="G28" s="438"/>
      <c r="H28" s="438"/>
      <c r="I28" s="438"/>
      <c r="J28" s="438"/>
      <c r="K28" s="438"/>
      <c r="L28" s="438"/>
      <c r="M28" s="439"/>
    </row>
    <row r="29" spans="1:13">
      <c r="A29" s="111" t="s">
        <v>41</v>
      </c>
      <c r="B29" s="487"/>
      <c r="C29" s="421"/>
      <c r="D29" s="421"/>
      <c r="E29" s="421"/>
      <c r="F29" s="421"/>
      <c r="G29" s="422"/>
      <c r="H29" s="408" t="s">
        <v>42</v>
      </c>
      <c r="I29" s="417"/>
      <c r="J29" s="418"/>
      <c r="K29" s="408" t="s">
        <v>43</v>
      </c>
      <c r="L29" s="417"/>
      <c r="M29" s="419"/>
    </row>
    <row r="30" spans="1:13" ht="13.8" thickBot="1">
      <c r="A30" s="466"/>
      <c r="B30" s="467"/>
      <c r="C30" s="467"/>
      <c r="D30" s="467"/>
      <c r="E30" s="467"/>
      <c r="F30" s="467"/>
      <c r="G30" s="468"/>
      <c r="H30" s="462"/>
      <c r="I30" s="413"/>
      <c r="J30" s="463"/>
      <c r="K30" s="412"/>
      <c r="L30" s="464"/>
      <c r="M30" s="465"/>
    </row>
    <row r="31" spans="1:13">
      <c r="A31" s="107" t="s">
        <v>39</v>
      </c>
      <c r="B31" s="108" t="s">
        <v>1</v>
      </c>
      <c r="C31" s="396" t="s">
        <v>82</v>
      </c>
      <c r="D31" s="397"/>
      <c r="E31" s="397"/>
      <c r="F31" s="398"/>
      <c r="G31" s="394"/>
      <c r="H31" s="394"/>
      <c r="I31" s="394"/>
      <c r="J31" s="394"/>
      <c r="K31" s="395"/>
      <c r="L31" s="415" t="s">
        <v>81</v>
      </c>
      <c r="M31" s="416"/>
    </row>
    <row r="32" spans="1:13" ht="12.75" customHeight="1">
      <c r="A32" s="440"/>
      <c r="B32" s="442"/>
      <c r="C32" s="423"/>
      <c r="D32" s="424"/>
      <c r="E32" s="424"/>
      <c r="F32" s="424"/>
      <c r="G32" s="424"/>
      <c r="H32" s="424"/>
      <c r="I32" s="424"/>
      <c r="J32" s="424"/>
      <c r="K32" s="425"/>
      <c r="L32" s="426"/>
      <c r="M32" s="427"/>
    </row>
    <row r="33" spans="1:13" ht="12.75" customHeight="1">
      <c r="A33" s="441"/>
      <c r="B33" s="443"/>
      <c r="C33" s="428"/>
      <c r="D33" s="429"/>
      <c r="E33" s="429"/>
      <c r="F33" s="429"/>
      <c r="G33" s="429"/>
      <c r="H33" s="429"/>
      <c r="I33" s="429"/>
      <c r="J33" s="429"/>
      <c r="K33" s="430"/>
      <c r="L33" s="426"/>
      <c r="M33" s="427"/>
    </row>
    <row r="34" spans="1:13" ht="12.75" customHeight="1">
      <c r="A34" s="110" t="s">
        <v>40</v>
      </c>
      <c r="B34" s="109"/>
      <c r="C34" s="32"/>
      <c r="D34" s="32"/>
      <c r="E34" s="32"/>
      <c r="F34" s="32"/>
      <c r="G34" s="32"/>
      <c r="H34" s="32"/>
      <c r="I34" s="32"/>
      <c r="J34" s="32"/>
      <c r="K34" s="32"/>
      <c r="L34" s="32"/>
      <c r="M34" s="70"/>
    </row>
    <row r="35" spans="1:13">
      <c r="A35" s="433"/>
      <c r="B35" s="434"/>
      <c r="C35" s="434"/>
      <c r="D35" s="434"/>
      <c r="E35" s="434"/>
      <c r="F35" s="434"/>
      <c r="G35" s="434"/>
      <c r="H35" s="434"/>
      <c r="I35" s="434"/>
      <c r="J35" s="434"/>
      <c r="K35" s="434"/>
      <c r="L35" s="434"/>
      <c r="M35" s="435"/>
    </row>
    <row r="36" spans="1:13">
      <c r="A36" s="436"/>
      <c r="B36" s="434"/>
      <c r="C36" s="434"/>
      <c r="D36" s="434"/>
      <c r="E36" s="434"/>
      <c r="F36" s="434"/>
      <c r="G36" s="434"/>
      <c r="H36" s="434"/>
      <c r="I36" s="434"/>
      <c r="J36" s="434"/>
      <c r="K36" s="434"/>
      <c r="L36" s="434"/>
      <c r="M36" s="435"/>
    </row>
    <row r="37" spans="1:13">
      <c r="A37" s="436"/>
      <c r="B37" s="434"/>
      <c r="C37" s="434"/>
      <c r="D37" s="434"/>
      <c r="E37" s="434"/>
      <c r="F37" s="434"/>
      <c r="G37" s="434"/>
      <c r="H37" s="434"/>
      <c r="I37" s="434"/>
      <c r="J37" s="434"/>
      <c r="K37" s="434"/>
      <c r="L37" s="434"/>
      <c r="M37" s="435"/>
    </row>
    <row r="38" spans="1:13">
      <c r="A38" s="437"/>
      <c r="B38" s="438"/>
      <c r="C38" s="438"/>
      <c r="D38" s="438"/>
      <c r="E38" s="438"/>
      <c r="F38" s="438"/>
      <c r="G38" s="438"/>
      <c r="H38" s="438"/>
      <c r="I38" s="438"/>
      <c r="J38" s="438"/>
      <c r="K38" s="438"/>
      <c r="L38" s="438"/>
      <c r="M38" s="439"/>
    </row>
    <row r="39" spans="1:13">
      <c r="A39" s="111" t="s">
        <v>41</v>
      </c>
      <c r="B39" s="420"/>
      <c r="C39" s="421"/>
      <c r="D39" s="421"/>
      <c r="E39" s="421"/>
      <c r="F39" s="421"/>
      <c r="G39" s="422"/>
      <c r="H39" s="408" t="s">
        <v>42</v>
      </c>
      <c r="I39" s="417"/>
      <c r="J39" s="418"/>
      <c r="K39" s="408" t="s">
        <v>43</v>
      </c>
      <c r="L39" s="417"/>
      <c r="M39" s="419"/>
    </row>
    <row r="40" spans="1:13" ht="13.8" thickBot="1">
      <c r="A40" s="466"/>
      <c r="B40" s="467"/>
      <c r="C40" s="467"/>
      <c r="D40" s="467"/>
      <c r="E40" s="467"/>
      <c r="F40" s="467"/>
      <c r="G40" s="468"/>
      <c r="H40" s="462"/>
      <c r="I40" s="413"/>
      <c r="J40" s="463"/>
      <c r="K40" s="412"/>
      <c r="L40" s="464"/>
      <c r="M40" s="465"/>
    </row>
    <row r="41" spans="1:13">
      <c r="A41" s="107" t="s">
        <v>39</v>
      </c>
      <c r="B41" s="108" t="s">
        <v>1</v>
      </c>
      <c r="C41" s="396" t="s">
        <v>82</v>
      </c>
      <c r="D41" s="397"/>
      <c r="E41" s="397"/>
      <c r="F41" s="398"/>
      <c r="G41" s="394"/>
      <c r="H41" s="394"/>
      <c r="I41" s="394"/>
      <c r="J41" s="394"/>
      <c r="K41" s="395"/>
      <c r="L41" s="415" t="s">
        <v>81</v>
      </c>
      <c r="M41" s="416"/>
    </row>
    <row r="42" spans="1:13" ht="12.75" customHeight="1">
      <c r="A42" s="440"/>
      <c r="B42" s="442"/>
      <c r="C42" s="423"/>
      <c r="D42" s="424"/>
      <c r="E42" s="424"/>
      <c r="F42" s="424"/>
      <c r="G42" s="424"/>
      <c r="H42" s="424"/>
      <c r="I42" s="424"/>
      <c r="J42" s="424"/>
      <c r="K42" s="425"/>
      <c r="L42" s="426"/>
      <c r="M42" s="427"/>
    </row>
    <row r="43" spans="1:13" ht="12.75" customHeight="1">
      <c r="A43" s="441"/>
      <c r="B43" s="443"/>
      <c r="C43" s="428"/>
      <c r="D43" s="429"/>
      <c r="E43" s="429"/>
      <c r="F43" s="429"/>
      <c r="G43" s="429"/>
      <c r="H43" s="429"/>
      <c r="I43" s="429"/>
      <c r="J43" s="429"/>
      <c r="K43" s="430"/>
      <c r="L43" s="426"/>
      <c r="M43" s="427"/>
    </row>
    <row r="44" spans="1:13" ht="12.75" customHeight="1">
      <c r="A44" s="110" t="s">
        <v>40</v>
      </c>
      <c r="B44" s="109"/>
      <c r="C44" s="32"/>
      <c r="D44" s="32"/>
      <c r="E44" s="32"/>
      <c r="F44" s="32"/>
      <c r="G44" s="32"/>
      <c r="H44" s="32"/>
      <c r="I44" s="32"/>
      <c r="J44" s="32"/>
      <c r="K44" s="32"/>
      <c r="L44" s="32"/>
      <c r="M44" s="70"/>
    </row>
    <row r="45" spans="1:13">
      <c r="A45" s="433"/>
      <c r="B45" s="434"/>
      <c r="C45" s="434"/>
      <c r="D45" s="434"/>
      <c r="E45" s="434"/>
      <c r="F45" s="434"/>
      <c r="G45" s="434"/>
      <c r="H45" s="434"/>
      <c r="I45" s="434"/>
      <c r="J45" s="434"/>
      <c r="K45" s="434"/>
      <c r="L45" s="434"/>
      <c r="M45" s="435"/>
    </row>
    <row r="46" spans="1:13">
      <c r="A46" s="436"/>
      <c r="B46" s="434"/>
      <c r="C46" s="434"/>
      <c r="D46" s="434"/>
      <c r="E46" s="434"/>
      <c r="F46" s="434"/>
      <c r="G46" s="434"/>
      <c r="H46" s="434"/>
      <c r="I46" s="434"/>
      <c r="J46" s="434"/>
      <c r="K46" s="434"/>
      <c r="L46" s="434"/>
      <c r="M46" s="435"/>
    </row>
    <row r="47" spans="1:13">
      <c r="A47" s="436"/>
      <c r="B47" s="434"/>
      <c r="C47" s="434"/>
      <c r="D47" s="434"/>
      <c r="E47" s="434"/>
      <c r="F47" s="434"/>
      <c r="G47" s="434"/>
      <c r="H47" s="434"/>
      <c r="I47" s="434"/>
      <c r="J47" s="434"/>
      <c r="K47" s="434"/>
      <c r="L47" s="434"/>
      <c r="M47" s="435"/>
    </row>
    <row r="48" spans="1:13">
      <c r="A48" s="437"/>
      <c r="B48" s="438"/>
      <c r="C48" s="438"/>
      <c r="D48" s="438"/>
      <c r="E48" s="438"/>
      <c r="F48" s="438"/>
      <c r="G48" s="438"/>
      <c r="H48" s="438"/>
      <c r="I48" s="438"/>
      <c r="J48" s="438"/>
      <c r="K48" s="438"/>
      <c r="L48" s="438"/>
      <c r="M48" s="439"/>
    </row>
    <row r="49" spans="1:13">
      <c r="A49" s="111" t="s">
        <v>41</v>
      </c>
      <c r="B49" s="420"/>
      <c r="C49" s="421"/>
      <c r="D49" s="421"/>
      <c r="E49" s="421"/>
      <c r="F49" s="421"/>
      <c r="G49" s="422"/>
      <c r="H49" s="408" t="s">
        <v>42</v>
      </c>
      <c r="I49" s="417"/>
      <c r="J49" s="418"/>
      <c r="K49" s="408" t="s">
        <v>43</v>
      </c>
      <c r="L49" s="417"/>
      <c r="M49" s="419"/>
    </row>
    <row r="50" spans="1:13" ht="13.8" thickBot="1">
      <c r="A50" s="459"/>
      <c r="B50" s="460"/>
      <c r="C50" s="460"/>
      <c r="D50" s="460"/>
      <c r="E50" s="460"/>
      <c r="F50" s="460"/>
      <c r="G50" s="461"/>
      <c r="H50" s="462"/>
      <c r="I50" s="413"/>
      <c r="J50" s="463"/>
      <c r="K50" s="412"/>
      <c r="L50" s="464"/>
      <c r="M50" s="465"/>
    </row>
    <row r="51" spans="1:13">
      <c r="A51" s="484" t="s">
        <v>44</v>
      </c>
      <c r="B51" s="431"/>
      <c r="C51" s="485"/>
      <c r="D51" s="486" t="s">
        <v>45</v>
      </c>
      <c r="E51" s="431"/>
      <c r="F51" s="485"/>
      <c r="G51" s="486" t="s">
        <v>46</v>
      </c>
      <c r="H51" s="431"/>
      <c r="I51" s="431"/>
      <c r="J51" s="485"/>
      <c r="K51" s="431" t="s">
        <v>125</v>
      </c>
      <c r="L51" s="431"/>
      <c r="M51" s="432"/>
    </row>
    <row r="52" spans="1:13">
      <c r="A52" s="469" t="str">
        <f>'Summary Sheet'!E67</f>
        <v>Vernon Lansford</v>
      </c>
      <c r="B52" s="470"/>
      <c r="C52" s="471"/>
      <c r="D52" s="475" t="str">
        <f>'Summary Sheet'!G67</f>
        <v>FEMA</v>
      </c>
      <c r="E52" s="470"/>
      <c r="F52" s="471"/>
      <c r="G52" s="475" t="str">
        <f>IF('Bosque Co'!G52=0,"",'Bosque Co'!G52)</f>
        <v/>
      </c>
      <c r="H52" s="470"/>
      <c r="I52" s="470"/>
      <c r="J52" s="471"/>
      <c r="K52" s="478" t="str">
        <f>'Summary Sheet'!I67</f>
        <v>225-910-5272</v>
      </c>
      <c r="L52" s="479"/>
      <c r="M52" s="480"/>
    </row>
    <row r="53" spans="1:13">
      <c r="A53" s="472"/>
      <c r="B53" s="473"/>
      <c r="C53" s="474"/>
      <c r="D53" s="476"/>
      <c r="E53" s="473"/>
      <c r="F53" s="474"/>
      <c r="G53" s="476"/>
      <c r="H53" s="473"/>
      <c r="I53" s="473"/>
      <c r="J53" s="474"/>
      <c r="K53" s="481"/>
      <c r="L53" s="482"/>
      <c r="M53" s="483"/>
    </row>
    <row r="54" spans="1:13" ht="13.8" thickBot="1">
      <c r="A54" s="38" t="s">
        <v>47</v>
      </c>
      <c r="B54" s="39"/>
      <c r="C54" s="40"/>
      <c r="D54" s="40"/>
      <c r="E54" s="40"/>
      <c r="F54" s="40"/>
      <c r="G54" s="410" t="s">
        <v>119</v>
      </c>
      <c r="H54" s="410"/>
      <c r="I54" s="410"/>
      <c r="J54" s="411"/>
      <c r="K54" s="412">
        <f>+K20+K30+K40+K50</f>
        <v>0</v>
      </c>
      <c r="L54" s="413"/>
      <c r="M54" s="414"/>
    </row>
    <row r="55" spans="1:13" ht="2.25" customHeight="1"/>
    <row r="56" spans="1:13">
      <c r="A56" s="33" t="s">
        <v>64</v>
      </c>
      <c r="D56" s="34" t="s">
        <v>70</v>
      </c>
      <c r="G56" s="33" t="s">
        <v>75</v>
      </c>
      <c r="K56" s="71" t="s">
        <v>104</v>
      </c>
    </row>
    <row r="57" spans="1:13">
      <c r="A57" s="33" t="s">
        <v>78</v>
      </c>
      <c r="D57" s="33" t="s">
        <v>69</v>
      </c>
      <c r="G57" s="33" t="s">
        <v>76</v>
      </c>
      <c r="K57" s="71" t="s">
        <v>105</v>
      </c>
    </row>
    <row r="58" spans="1:13">
      <c r="A58" s="33" t="s">
        <v>79</v>
      </c>
      <c r="D58" s="33" t="s">
        <v>71</v>
      </c>
      <c r="G58" s="33" t="s">
        <v>77</v>
      </c>
      <c r="K58" s="71" t="s">
        <v>106</v>
      </c>
    </row>
    <row r="59" spans="1:13">
      <c r="A59" s="33" t="s">
        <v>65</v>
      </c>
      <c r="D59" s="34" t="s">
        <v>84</v>
      </c>
      <c r="E59" s="35"/>
      <c r="F59" s="35"/>
      <c r="G59" s="33" t="s">
        <v>72</v>
      </c>
      <c r="K59" s="71" t="s">
        <v>109</v>
      </c>
    </row>
    <row r="60" spans="1:13">
      <c r="A60" s="33" t="s">
        <v>66</v>
      </c>
      <c r="D60" s="34" t="s">
        <v>85</v>
      </c>
      <c r="G60" s="71" t="s">
        <v>107</v>
      </c>
      <c r="K60" s="71" t="s">
        <v>110</v>
      </c>
    </row>
    <row r="61" spans="1:13">
      <c r="A61" s="33" t="s">
        <v>67</v>
      </c>
      <c r="D61" s="33" t="s">
        <v>73</v>
      </c>
      <c r="G61" s="71" t="s">
        <v>108</v>
      </c>
      <c r="K61" s="71" t="s">
        <v>111</v>
      </c>
    </row>
    <row r="62" spans="1:13">
      <c r="A62" s="33" t="s">
        <v>68</v>
      </c>
      <c r="D62" s="33" t="s">
        <v>74</v>
      </c>
      <c r="G62" s="71" t="s">
        <v>103</v>
      </c>
      <c r="K62" s="71" t="s">
        <v>112</v>
      </c>
    </row>
  </sheetData>
  <mergeCells count="89">
    <mergeCell ref="A7:L7"/>
    <mergeCell ref="A1:K1"/>
    <mergeCell ref="L1:M1"/>
    <mergeCell ref="A2:K2"/>
    <mergeCell ref="L2:M2"/>
    <mergeCell ref="A3:M3"/>
    <mergeCell ref="A4:B4"/>
    <mergeCell ref="C4:F4"/>
    <mergeCell ref="G4:K4"/>
    <mergeCell ref="L4:M4"/>
    <mergeCell ref="A5:B5"/>
    <mergeCell ref="C5:F5"/>
    <mergeCell ref="G5:K5"/>
    <mergeCell ref="L5:M5"/>
    <mergeCell ref="A6:M6"/>
    <mergeCell ref="C11:F11"/>
    <mergeCell ref="G11:K11"/>
    <mergeCell ref="L11:M11"/>
    <mergeCell ref="A12:A13"/>
    <mergeCell ref="B12:B13"/>
    <mergeCell ref="C12:K12"/>
    <mergeCell ref="L12:M12"/>
    <mergeCell ref="C13:K13"/>
    <mergeCell ref="L13:M13"/>
    <mergeCell ref="A15:M18"/>
    <mergeCell ref="B19:G19"/>
    <mergeCell ref="H19:J19"/>
    <mergeCell ref="K19:M19"/>
    <mergeCell ref="A20:G20"/>
    <mergeCell ref="H20:J20"/>
    <mergeCell ref="K20:M20"/>
    <mergeCell ref="C21:F21"/>
    <mergeCell ref="G21:K21"/>
    <mergeCell ref="L21:M21"/>
    <mergeCell ref="A22:A23"/>
    <mergeCell ref="B22:B23"/>
    <mergeCell ref="C22:K22"/>
    <mergeCell ref="L22:M22"/>
    <mergeCell ref="C23:K23"/>
    <mergeCell ref="L23:M23"/>
    <mergeCell ref="A25:M28"/>
    <mergeCell ref="B29:G29"/>
    <mergeCell ref="H29:J29"/>
    <mergeCell ref="K29:M29"/>
    <mergeCell ref="A30:G30"/>
    <mergeCell ref="H30:J30"/>
    <mergeCell ref="K30:M30"/>
    <mergeCell ref="C31:F31"/>
    <mergeCell ref="G31:K31"/>
    <mergeCell ref="L31:M31"/>
    <mergeCell ref="A32:A33"/>
    <mergeCell ref="B32:B33"/>
    <mergeCell ref="C32:K32"/>
    <mergeCell ref="L32:M32"/>
    <mergeCell ref="C33:K33"/>
    <mergeCell ref="L33:M33"/>
    <mergeCell ref="A35:M38"/>
    <mergeCell ref="B39:G39"/>
    <mergeCell ref="H39:J39"/>
    <mergeCell ref="K39:M39"/>
    <mergeCell ref="A40:G40"/>
    <mergeCell ref="H40:J40"/>
    <mergeCell ref="K40:M40"/>
    <mergeCell ref="C41:F41"/>
    <mergeCell ref="G41:K41"/>
    <mergeCell ref="L41:M41"/>
    <mergeCell ref="A42:A43"/>
    <mergeCell ref="B42:B43"/>
    <mergeCell ref="C42:K42"/>
    <mergeCell ref="L42:M42"/>
    <mergeCell ref="C43:K43"/>
    <mergeCell ref="L43:M43"/>
    <mergeCell ref="A45:M48"/>
    <mergeCell ref="B49:G49"/>
    <mergeCell ref="H49:J49"/>
    <mergeCell ref="K49:M49"/>
    <mergeCell ref="A50:G50"/>
    <mergeCell ref="H50:J50"/>
    <mergeCell ref="K50:M50"/>
    <mergeCell ref="G54:J54"/>
    <mergeCell ref="K54:M54"/>
    <mergeCell ref="A51:C51"/>
    <mergeCell ref="D51:F51"/>
    <mergeCell ref="G51:J51"/>
    <mergeCell ref="K51:M51"/>
    <mergeCell ref="A52:C53"/>
    <mergeCell ref="D52:F53"/>
    <mergeCell ref="G52:J53"/>
    <mergeCell ref="K52:M53"/>
  </mergeCells>
  <pageMargins left="0.5" right="0.5" top="0.5" bottom="0.25" header="0" footer="0.25"/>
  <pageSetup scale="94" orientation="portrait" r:id="rId1"/>
  <headerFooter alignWithMargins="0">
    <oddFooter>&amp;L&amp;8&amp;F  &amp;D&amp;C&amp;12 2</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Views>
    <sheetView workbookViewId="0"/>
  </sheetViews>
  <sheetFormatPr defaultColWidth="8.6640625" defaultRowHeight="14.4"/>
  <cols>
    <col min="1" max="1" width="12.88671875" style="183" customWidth="1"/>
    <col min="2" max="2" width="16.88671875" style="192" bestFit="1" customWidth="1"/>
    <col min="3" max="3" width="10.44140625" style="193" bestFit="1" customWidth="1"/>
    <col min="4" max="4" width="12.88671875" style="192" customWidth="1"/>
    <col min="5" max="5" width="15.88671875" style="194" bestFit="1" customWidth="1"/>
    <col min="6" max="6" width="10.109375" style="183" bestFit="1" customWidth="1"/>
    <col min="7" max="16384" width="8.6640625" style="183"/>
  </cols>
  <sheetData>
    <row r="1" spans="1:6">
      <c r="A1" s="178" t="str">
        <f>TEXT(B1, "dddd")</f>
        <v>Tuesday</v>
      </c>
      <c r="B1" s="179">
        <v>41618.634814814817</v>
      </c>
      <c r="C1" s="180" t="s">
        <v>1319</v>
      </c>
      <c r="D1" s="181" t="str">
        <f>TEXT(E1, "dddd")</f>
        <v>Tuesday</v>
      </c>
      <c r="E1" s="179">
        <v>41618.75</v>
      </c>
      <c r="F1" s="182">
        <f t="shared" ref="F1:F46" si="0">SUM(E1-B1)*24</f>
        <v>2.7644444443867542</v>
      </c>
    </row>
    <row r="2" spans="1:6">
      <c r="A2" s="184" t="str">
        <f t="shared" ref="A2:A46" si="1">TEXT(B2, "dddd")</f>
        <v>Friday</v>
      </c>
      <c r="B2" s="179">
        <v>41621.490277777775</v>
      </c>
      <c r="C2" s="185" t="s">
        <v>1319</v>
      </c>
      <c r="D2" s="186" t="str">
        <f t="shared" ref="D2:D46" si="2">TEXT(E2, "dddd")</f>
        <v>Saturday</v>
      </c>
      <c r="E2" s="179">
        <v>41622.083333333336</v>
      </c>
      <c r="F2" s="187">
        <f t="shared" si="0"/>
        <v>14.233333333453629</v>
      </c>
    </row>
    <row r="3" spans="1:6">
      <c r="A3" s="184" t="str">
        <f t="shared" si="1"/>
        <v>Tuesday</v>
      </c>
      <c r="B3" s="179">
        <v>41275.5</v>
      </c>
      <c r="C3" s="185" t="s">
        <v>1319</v>
      </c>
      <c r="D3" s="186" t="str">
        <f t="shared" si="2"/>
        <v>Tuesday</v>
      </c>
      <c r="E3" s="179">
        <v>41275.5</v>
      </c>
      <c r="F3" s="187">
        <f t="shared" si="0"/>
        <v>0</v>
      </c>
    </row>
    <row r="4" spans="1:6">
      <c r="A4" s="184" t="str">
        <f t="shared" si="1"/>
        <v>Tuesday</v>
      </c>
      <c r="B4" s="179">
        <v>41275.5</v>
      </c>
      <c r="C4" s="185" t="s">
        <v>1319</v>
      </c>
      <c r="D4" s="186" t="str">
        <f t="shared" si="2"/>
        <v>Tuesday</v>
      </c>
      <c r="E4" s="179">
        <v>41275.5</v>
      </c>
      <c r="F4" s="187">
        <f t="shared" si="0"/>
        <v>0</v>
      </c>
    </row>
    <row r="5" spans="1:6">
      <c r="A5" s="184" t="str">
        <f t="shared" si="1"/>
        <v>Tuesday</v>
      </c>
      <c r="B5" s="179">
        <v>41275.5</v>
      </c>
      <c r="C5" s="185" t="s">
        <v>1319</v>
      </c>
      <c r="D5" s="186" t="str">
        <f t="shared" si="2"/>
        <v>Tuesday</v>
      </c>
      <c r="E5" s="179">
        <v>41275.5</v>
      </c>
      <c r="F5" s="187">
        <f t="shared" si="0"/>
        <v>0</v>
      </c>
    </row>
    <row r="6" spans="1:6">
      <c r="A6" s="184" t="str">
        <f t="shared" si="1"/>
        <v>Tuesday</v>
      </c>
      <c r="B6" s="179">
        <v>41275.5</v>
      </c>
      <c r="C6" s="185" t="s">
        <v>1319</v>
      </c>
      <c r="D6" s="186" t="str">
        <f t="shared" si="2"/>
        <v>Tuesday</v>
      </c>
      <c r="E6" s="179">
        <v>41275.5</v>
      </c>
      <c r="F6" s="187">
        <f t="shared" si="0"/>
        <v>0</v>
      </c>
    </row>
    <row r="7" spans="1:6">
      <c r="A7" s="184" t="str">
        <f t="shared" si="1"/>
        <v>Tuesday</v>
      </c>
      <c r="B7" s="179">
        <v>41275.5</v>
      </c>
      <c r="C7" s="185" t="s">
        <v>1319</v>
      </c>
      <c r="D7" s="186" t="str">
        <f t="shared" si="2"/>
        <v>Tuesday</v>
      </c>
      <c r="E7" s="179">
        <v>41275.5</v>
      </c>
      <c r="F7" s="187">
        <f t="shared" si="0"/>
        <v>0</v>
      </c>
    </row>
    <row r="8" spans="1:6">
      <c r="A8" s="184" t="str">
        <f t="shared" si="1"/>
        <v>Tuesday</v>
      </c>
      <c r="B8" s="179">
        <v>41275.5</v>
      </c>
      <c r="C8" s="185" t="s">
        <v>1319</v>
      </c>
      <c r="D8" s="186" t="str">
        <f t="shared" si="2"/>
        <v>Tuesday</v>
      </c>
      <c r="E8" s="179">
        <v>41275.5</v>
      </c>
      <c r="F8" s="187">
        <f t="shared" si="0"/>
        <v>0</v>
      </c>
    </row>
    <row r="9" spans="1:6">
      <c r="A9" s="184" t="str">
        <f t="shared" si="1"/>
        <v>Tuesday</v>
      </c>
      <c r="B9" s="179">
        <v>41275.5</v>
      </c>
      <c r="C9" s="185" t="s">
        <v>1319</v>
      </c>
      <c r="D9" s="186" t="str">
        <f t="shared" si="2"/>
        <v>Tuesday</v>
      </c>
      <c r="E9" s="179">
        <v>41275.5</v>
      </c>
      <c r="F9" s="187">
        <f t="shared" si="0"/>
        <v>0</v>
      </c>
    </row>
    <row r="10" spans="1:6">
      <c r="A10" s="184" t="str">
        <f t="shared" si="1"/>
        <v>Tuesday</v>
      </c>
      <c r="B10" s="179">
        <v>41275.5</v>
      </c>
      <c r="C10" s="185" t="s">
        <v>1319</v>
      </c>
      <c r="D10" s="186" t="str">
        <f t="shared" si="2"/>
        <v>Tuesday</v>
      </c>
      <c r="E10" s="179">
        <v>41275.5</v>
      </c>
      <c r="F10" s="187">
        <f t="shared" si="0"/>
        <v>0</v>
      </c>
    </row>
    <row r="11" spans="1:6">
      <c r="A11" s="184" t="str">
        <f t="shared" si="1"/>
        <v>Tuesday</v>
      </c>
      <c r="B11" s="179">
        <v>41275.5</v>
      </c>
      <c r="C11" s="185" t="s">
        <v>1319</v>
      </c>
      <c r="D11" s="186" t="str">
        <f t="shared" si="2"/>
        <v>Tuesday</v>
      </c>
      <c r="E11" s="179">
        <v>41275.5</v>
      </c>
      <c r="F11" s="187">
        <f t="shared" si="0"/>
        <v>0</v>
      </c>
    </row>
    <row r="12" spans="1:6">
      <c r="A12" s="184" t="str">
        <f t="shared" si="1"/>
        <v>Tuesday</v>
      </c>
      <c r="B12" s="179">
        <v>41275.5</v>
      </c>
      <c r="C12" s="185" t="s">
        <v>1319</v>
      </c>
      <c r="D12" s="186" t="str">
        <f t="shared" si="2"/>
        <v>Tuesday</v>
      </c>
      <c r="E12" s="179">
        <v>41275.5</v>
      </c>
      <c r="F12" s="187">
        <f t="shared" si="0"/>
        <v>0</v>
      </c>
    </row>
    <row r="13" spans="1:6">
      <c r="A13" s="184" t="str">
        <f t="shared" si="1"/>
        <v>Tuesday</v>
      </c>
      <c r="B13" s="179">
        <v>41275.5</v>
      </c>
      <c r="C13" s="185" t="s">
        <v>1319</v>
      </c>
      <c r="D13" s="186" t="str">
        <f t="shared" si="2"/>
        <v>Tuesday</v>
      </c>
      <c r="E13" s="179">
        <v>41275.5</v>
      </c>
      <c r="F13" s="187">
        <f t="shared" si="0"/>
        <v>0</v>
      </c>
    </row>
    <row r="14" spans="1:6">
      <c r="A14" s="184" t="str">
        <f t="shared" si="1"/>
        <v>Tuesday</v>
      </c>
      <c r="B14" s="179">
        <v>41275.5</v>
      </c>
      <c r="C14" s="185" t="s">
        <v>1319</v>
      </c>
      <c r="D14" s="186" t="str">
        <f t="shared" si="2"/>
        <v>Tuesday</v>
      </c>
      <c r="E14" s="179">
        <v>41275.5</v>
      </c>
      <c r="F14" s="187">
        <f t="shared" si="0"/>
        <v>0</v>
      </c>
    </row>
    <row r="15" spans="1:6">
      <c r="A15" s="184" t="str">
        <f t="shared" si="1"/>
        <v>Tuesday</v>
      </c>
      <c r="B15" s="179">
        <v>41275.5</v>
      </c>
      <c r="C15" s="185" t="s">
        <v>1319</v>
      </c>
      <c r="D15" s="186" t="str">
        <f t="shared" si="2"/>
        <v>Tuesday</v>
      </c>
      <c r="E15" s="179">
        <v>41275.5</v>
      </c>
      <c r="F15" s="187">
        <f t="shared" si="0"/>
        <v>0</v>
      </c>
    </row>
    <row r="16" spans="1:6">
      <c r="A16" s="184" t="str">
        <f t="shared" si="1"/>
        <v>Tuesday</v>
      </c>
      <c r="B16" s="179">
        <v>41275.5</v>
      </c>
      <c r="C16" s="185" t="s">
        <v>1319</v>
      </c>
      <c r="D16" s="186" t="str">
        <f t="shared" si="2"/>
        <v>Tuesday</v>
      </c>
      <c r="E16" s="179">
        <v>41275.5</v>
      </c>
      <c r="F16" s="187">
        <f t="shared" si="0"/>
        <v>0</v>
      </c>
    </row>
    <row r="17" spans="1:6">
      <c r="A17" s="184" t="str">
        <f t="shared" si="1"/>
        <v>Tuesday</v>
      </c>
      <c r="B17" s="179">
        <v>41275.5</v>
      </c>
      <c r="C17" s="185" t="s">
        <v>1319</v>
      </c>
      <c r="D17" s="186" t="str">
        <f t="shared" si="2"/>
        <v>Tuesday</v>
      </c>
      <c r="E17" s="179">
        <v>41275.5</v>
      </c>
      <c r="F17" s="187">
        <f t="shared" si="0"/>
        <v>0</v>
      </c>
    </row>
    <row r="18" spans="1:6">
      <c r="A18" s="184" t="str">
        <f t="shared" si="1"/>
        <v>Tuesday</v>
      </c>
      <c r="B18" s="179">
        <v>41275.5</v>
      </c>
      <c r="C18" s="185" t="s">
        <v>1319</v>
      </c>
      <c r="D18" s="186" t="str">
        <f t="shared" si="2"/>
        <v>Tuesday</v>
      </c>
      <c r="E18" s="179">
        <v>41275.5</v>
      </c>
      <c r="F18" s="187">
        <f t="shared" si="0"/>
        <v>0</v>
      </c>
    </row>
    <row r="19" spans="1:6">
      <c r="A19" s="184" t="str">
        <f t="shared" si="1"/>
        <v>Tuesday</v>
      </c>
      <c r="B19" s="179">
        <v>41275.5</v>
      </c>
      <c r="C19" s="185" t="s">
        <v>1319</v>
      </c>
      <c r="D19" s="186" t="str">
        <f t="shared" si="2"/>
        <v>Tuesday</v>
      </c>
      <c r="E19" s="179">
        <v>41275.5</v>
      </c>
      <c r="F19" s="187">
        <f t="shared" si="0"/>
        <v>0</v>
      </c>
    </row>
    <row r="20" spans="1:6">
      <c r="A20" s="184" t="str">
        <f t="shared" si="1"/>
        <v>Tuesday</v>
      </c>
      <c r="B20" s="179">
        <v>41275.5</v>
      </c>
      <c r="C20" s="185" t="s">
        <v>1319</v>
      </c>
      <c r="D20" s="186" t="str">
        <f t="shared" si="2"/>
        <v>Tuesday</v>
      </c>
      <c r="E20" s="179">
        <v>41275.5</v>
      </c>
      <c r="F20" s="187">
        <f t="shared" si="0"/>
        <v>0</v>
      </c>
    </row>
    <row r="21" spans="1:6">
      <c r="A21" s="184" t="str">
        <f t="shared" si="1"/>
        <v>Tuesday</v>
      </c>
      <c r="B21" s="179">
        <v>41275.5</v>
      </c>
      <c r="C21" s="185" t="s">
        <v>1319</v>
      </c>
      <c r="D21" s="186" t="str">
        <f t="shared" si="2"/>
        <v>Tuesday</v>
      </c>
      <c r="E21" s="179">
        <v>41275.5</v>
      </c>
      <c r="F21" s="187">
        <f t="shared" si="0"/>
        <v>0</v>
      </c>
    </row>
    <row r="22" spans="1:6">
      <c r="A22" s="184" t="str">
        <f t="shared" si="1"/>
        <v>Tuesday</v>
      </c>
      <c r="B22" s="179">
        <v>41275.5</v>
      </c>
      <c r="C22" s="185" t="s">
        <v>1319</v>
      </c>
      <c r="D22" s="186" t="str">
        <f t="shared" si="2"/>
        <v>Tuesday</v>
      </c>
      <c r="E22" s="179">
        <v>41275.5</v>
      </c>
      <c r="F22" s="187">
        <f t="shared" si="0"/>
        <v>0</v>
      </c>
    </row>
    <row r="23" spans="1:6" ht="15" thickBot="1">
      <c r="A23" s="188" t="str">
        <f t="shared" si="1"/>
        <v>Tuesday</v>
      </c>
      <c r="B23" s="179">
        <v>41275.5</v>
      </c>
      <c r="C23" s="189" t="s">
        <v>1319</v>
      </c>
      <c r="D23" s="190" t="str">
        <f t="shared" si="2"/>
        <v>Tuesday</v>
      </c>
      <c r="E23" s="179">
        <v>41275.5</v>
      </c>
      <c r="F23" s="191">
        <f t="shared" si="0"/>
        <v>0</v>
      </c>
    </row>
    <row r="24" spans="1:6" ht="15" thickBot="1">
      <c r="A24" s="188" t="str">
        <f t="shared" si="1"/>
        <v>Wednesday</v>
      </c>
      <c r="B24" s="179">
        <v>41276.5</v>
      </c>
      <c r="C24" s="189" t="s">
        <v>1319</v>
      </c>
      <c r="D24" s="190" t="str">
        <f t="shared" si="2"/>
        <v>Wednesday</v>
      </c>
      <c r="E24" s="179">
        <v>41276.5</v>
      </c>
      <c r="F24" s="191">
        <f t="shared" si="0"/>
        <v>0</v>
      </c>
    </row>
    <row r="25" spans="1:6" ht="15" thickBot="1">
      <c r="A25" s="188" t="str">
        <f t="shared" si="1"/>
        <v>Thursday</v>
      </c>
      <c r="B25" s="179">
        <v>41277.5</v>
      </c>
      <c r="C25" s="189" t="s">
        <v>1319</v>
      </c>
      <c r="D25" s="190" t="str">
        <f t="shared" si="2"/>
        <v>Thursday</v>
      </c>
      <c r="E25" s="179">
        <v>41277.5</v>
      </c>
      <c r="F25" s="191">
        <f t="shared" si="0"/>
        <v>0</v>
      </c>
    </row>
    <row r="26" spans="1:6" ht="15" thickBot="1">
      <c r="A26" s="188" t="str">
        <f t="shared" si="1"/>
        <v>Friday</v>
      </c>
      <c r="B26" s="179">
        <v>41278.5</v>
      </c>
      <c r="C26" s="189" t="s">
        <v>1319</v>
      </c>
      <c r="D26" s="190" t="str">
        <f t="shared" si="2"/>
        <v>Friday</v>
      </c>
      <c r="E26" s="179">
        <v>41278.5</v>
      </c>
      <c r="F26" s="191">
        <f t="shared" si="0"/>
        <v>0</v>
      </c>
    </row>
    <row r="27" spans="1:6" ht="15" thickBot="1">
      <c r="A27" s="188" t="str">
        <f t="shared" si="1"/>
        <v>Saturday</v>
      </c>
      <c r="B27" s="179">
        <v>41279.5</v>
      </c>
      <c r="C27" s="189" t="s">
        <v>1319</v>
      </c>
      <c r="D27" s="190" t="str">
        <f t="shared" si="2"/>
        <v>Saturday</v>
      </c>
      <c r="E27" s="179">
        <v>41279.5</v>
      </c>
      <c r="F27" s="191">
        <f t="shared" si="0"/>
        <v>0</v>
      </c>
    </row>
    <row r="28" spans="1:6" ht="15" thickBot="1">
      <c r="A28" s="188" t="str">
        <f t="shared" si="1"/>
        <v>Sunday</v>
      </c>
      <c r="B28" s="179">
        <v>41280.5</v>
      </c>
      <c r="C28" s="189" t="s">
        <v>1319</v>
      </c>
      <c r="D28" s="190" t="str">
        <f t="shared" si="2"/>
        <v>Sunday</v>
      </c>
      <c r="E28" s="179">
        <v>41280.5</v>
      </c>
      <c r="F28" s="191">
        <f t="shared" si="0"/>
        <v>0</v>
      </c>
    </row>
    <row r="29" spans="1:6" ht="15" thickBot="1">
      <c r="A29" s="188" t="str">
        <f t="shared" si="1"/>
        <v>Monday</v>
      </c>
      <c r="B29" s="179">
        <v>41281.5</v>
      </c>
      <c r="C29" s="189" t="s">
        <v>1319</v>
      </c>
      <c r="D29" s="190" t="str">
        <f t="shared" si="2"/>
        <v>Monday</v>
      </c>
      <c r="E29" s="179">
        <v>41281.5</v>
      </c>
      <c r="F29" s="191">
        <f t="shared" si="0"/>
        <v>0</v>
      </c>
    </row>
    <row r="30" spans="1:6" ht="15" thickBot="1">
      <c r="A30" s="188" t="str">
        <f t="shared" si="1"/>
        <v>Tuesday</v>
      </c>
      <c r="B30" s="179">
        <v>41282.5</v>
      </c>
      <c r="C30" s="189" t="s">
        <v>1319</v>
      </c>
      <c r="D30" s="190" t="str">
        <f t="shared" si="2"/>
        <v>Tuesday</v>
      </c>
      <c r="E30" s="179">
        <v>41282.5</v>
      </c>
      <c r="F30" s="191">
        <f t="shared" si="0"/>
        <v>0</v>
      </c>
    </row>
    <row r="31" spans="1:6" ht="15" thickBot="1">
      <c r="A31" s="188" t="str">
        <f t="shared" si="1"/>
        <v>Wednesday</v>
      </c>
      <c r="B31" s="179">
        <v>41283.5</v>
      </c>
      <c r="C31" s="189" t="s">
        <v>1319</v>
      </c>
      <c r="D31" s="190" t="str">
        <f t="shared" si="2"/>
        <v>Wednesday</v>
      </c>
      <c r="E31" s="179">
        <v>41283.5</v>
      </c>
      <c r="F31" s="191">
        <f t="shared" si="0"/>
        <v>0</v>
      </c>
    </row>
    <row r="32" spans="1:6" ht="15" thickBot="1">
      <c r="A32" s="188" t="str">
        <f t="shared" si="1"/>
        <v>Thursday</v>
      </c>
      <c r="B32" s="179">
        <v>41284.5</v>
      </c>
      <c r="C32" s="189" t="s">
        <v>1319</v>
      </c>
      <c r="D32" s="190" t="str">
        <f t="shared" si="2"/>
        <v>Thursday</v>
      </c>
      <c r="E32" s="179">
        <v>41284.5</v>
      </c>
      <c r="F32" s="191">
        <f t="shared" si="0"/>
        <v>0</v>
      </c>
    </row>
    <row r="33" spans="1:6" ht="15" thickBot="1">
      <c r="A33" s="188" t="str">
        <f t="shared" si="1"/>
        <v>Friday</v>
      </c>
      <c r="B33" s="179">
        <v>41285.5</v>
      </c>
      <c r="C33" s="189" t="s">
        <v>1319</v>
      </c>
      <c r="D33" s="190" t="str">
        <f t="shared" si="2"/>
        <v>Friday</v>
      </c>
      <c r="E33" s="179">
        <v>41285.5</v>
      </c>
      <c r="F33" s="191">
        <f t="shared" si="0"/>
        <v>0</v>
      </c>
    </row>
    <row r="34" spans="1:6" ht="15" thickBot="1">
      <c r="A34" s="188" t="str">
        <f t="shared" si="1"/>
        <v>Saturday</v>
      </c>
      <c r="B34" s="179">
        <v>41286.5</v>
      </c>
      <c r="C34" s="189" t="s">
        <v>1319</v>
      </c>
      <c r="D34" s="190" t="str">
        <f t="shared" si="2"/>
        <v>Saturday</v>
      </c>
      <c r="E34" s="179">
        <v>41286.5</v>
      </c>
      <c r="F34" s="191">
        <f t="shared" si="0"/>
        <v>0</v>
      </c>
    </row>
    <row r="35" spans="1:6" ht="15" thickBot="1">
      <c r="A35" s="188" t="str">
        <f t="shared" si="1"/>
        <v>Sunday</v>
      </c>
      <c r="B35" s="179">
        <v>41287.5</v>
      </c>
      <c r="C35" s="189" t="s">
        <v>1319</v>
      </c>
      <c r="D35" s="190" t="str">
        <f t="shared" si="2"/>
        <v>Sunday</v>
      </c>
      <c r="E35" s="179">
        <v>41287.5</v>
      </c>
      <c r="F35" s="191">
        <f t="shared" si="0"/>
        <v>0</v>
      </c>
    </row>
    <row r="36" spans="1:6" ht="15" thickBot="1">
      <c r="A36" s="188" t="str">
        <f t="shared" si="1"/>
        <v>Monday</v>
      </c>
      <c r="B36" s="179">
        <v>41288.5</v>
      </c>
      <c r="C36" s="189" t="s">
        <v>1319</v>
      </c>
      <c r="D36" s="190" t="str">
        <f t="shared" si="2"/>
        <v>Monday</v>
      </c>
      <c r="E36" s="179">
        <v>41288.5</v>
      </c>
      <c r="F36" s="191">
        <f t="shared" si="0"/>
        <v>0</v>
      </c>
    </row>
    <row r="37" spans="1:6" ht="15" thickBot="1">
      <c r="A37" s="188" t="str">
        <f t="shared" si="1"/>
        <v>Tuesday</v>
      </c>
      <c r="B37" s="179">
        <v>41289.5</v>
      </c>
      <c r="C37" s="189" t="s">
        <v>1319</v>
      </c>
      <c r="D37" s="190" t="str">
        <f t="shared" si="2"/>
        <v>Tuesday</v>
      </c>
      <c r="E37" s="179">
        <v>41289.5</v>
      </c>
      <c r="F37" s="191">
        <f t="shared" si="0"/>
        <v>0</v>
      </c>
    </row>
    <row r="38" spans="1:6" ht="15" thickBot="1">
      <c r="A38" s="188" t="str">
        <f t="shared" si="1"/>
        <v>Wednesday</v>
      </c>
      <c r="B38" s="179">
        <v>41290.5</v>
      </c>
      <c r="C38" s="189" t="s">
        <v>1319</v>
      </c>
      <c r="D38" s="190" t="str">
        <f t="shared" si="2"/>
        <v>Wednesday</v>
      </c>
      <c r="E38" s="179">
        <v>41290.5</v>
      </c>
      <c r="F38" s="191">
        <f t="shared" si="0"/>
        <v>0</v>
      </c>
    </row>
    <row r="39" spans="1:6" ht="15" thickBot="1">
      <c r="A39" s="188" t="str">
        <f t="shared" si="1"/>
        <v>Thursday</v>
      </c>
      <c r="B39" s="179">
        <v>41291.5</v>
      </c>
      <c r="C39" s="189" t="s">
        <v>1319</v>
      </c>
      <c r="D39" s="190" t="str">
        <f t="shared" si="2"/>
        <v>Thursday</v>
      </c>
      <c r="E39" s="179">
        <v>41291.5</v>
      </c>
      <c r="F39" s="191">
        <f t="shared" si="0"/>
        <v>0</v>
      </c>
    </row>
    <row r="40" spans="1:6" ht="15" thickBot="1">
      <c r="A40" s="188" t="str">
        <f t="shared" si="1"/>
        <v>Friday</v>
      </c>
      <c r="B40" s="179">
        <v>41292.5</v>
      </c>
      <c r="C40" s="189" t="s">
        <v>1319</v>
      </c>
      <c r="D40" s="190" t="str">
        <f t="shared" si="2"/>
        <v>Friday</v>
      </c>
      <c r="E40" s="179">
        <v>41292.5</v>
      </c>
      <c r="F40" s="191">
        <f t="shared" si="0"/>
        <v>0</v>
      </c>
    </row>
    <row r="41" spans="1:6" ht="15" thickBot="1">
      <c r="A41" s="188" t="str">
        <f t="shared" si="1"/>
        <v>Saturday</v>
      </c>
      <c r="B41" s="179">
        <v>41293.5</v>
      </c>
      <c r="C41" s="189" t="s">
        <v>1319</v>
      </c>
      <c r="D41" s="190" t="str">
        <f t="shared" si="2"/>
        <v>Saturday</v>
      </c>
      <c r="E41" s="179">
        <v>41293.5</v>
      </c>
      <c r="F41" s="191">
        <f t="shared" si="0"/>
        <v>0</v>
      </c>
    </row>
    <row r="42" spans="1:6" ht="15" thickBot="1">
      <c r="A42" s="188" t="str">
        <f t="shared" si="1"/>
        <v>Sunday</v>
      </c>
      <c r="B42" s="179">
        <v>41294.5</v>
      </c>
      <c r="C42" s="189" t="s">
        <v>1319</v>
      </c>
      <c r="D42" s="190" t="str">
        <f t="shared" si="2"/>
        <v>Sunday</v>
      </c>
      <c r="E42" s="179">
        <v>41294.5</v>
      </c>
      <c r="F42" s="191">
        <f t="shared" si="0"/>
        <v>0</v>
      </c>
    </row>
    <row r="43" spans="1:6" ht="15" thickBot="1">
      <c r="A43" s="188" t="str">
        <f t="shared" si="1"/>
        <v>Monday</v>
      </c>
      <c r="B43" s="179">
        <v>41295.5</v>
      </c>
      <c r="C43" s="189" t="s">
        <v>1319</v>
      </c>
      <c r="D43" s="190" t="str">
        <f t="shared" si="2"/>
        <v>Monday</v>
      </c>
      <c r="E43" s="179">
        <v>41295.5</v>
      </c>
      <c r="F43" s="191">
        <f t="shared" si="0"/>
        <v>0</v>
      </c>
    </row>
    <row r="44" spans="1:6" ht="15" thickBot="1">
      <c r="A44" s="188" t="str">
        <f t="shared" si="1"/>
        <v>Tuesday</v>
      </c>
      <c r="B44" s="179">
        <v>41296.5</v>
      </c>
      <c r="C44" s="189" t="s">
        <v>1319</v>
      </c>
      <c r="D44" s="190" t="str">
        <f t="shared" si="2"/>
        <v>Tuesday</v>
      </c>
      <c r="E44" s="179">
        <v>41296.5</v>
      </c>
      <c r="F44" s="191">
        <f t="shared" si="0"/>
        <v>0</v>
      </c>
    </row>
    <row r="45" spans="1:6" ht="15" thickBot="1">
      <c r="A45" s="188" t="str">
        <f t="shared" si="1"/>
        <v>Wednesday</v>
      </c>
      <c r="B45" s="179">
        <v>41297.5</v>
      </c>
      <c r="C45" s="189" t="s">
        <v>1319</v>
      </c>
      <c r="D45" s="190" t="str">
        <f t="shared" si="2"/>
        <v>Wednesday</v>
      </c>
      <c r="E45" s="179">
        <v>41297.5</v>
      </c>
      <c r="F45" s="191">
        <f t="shared" si="0"/>
        <v>0</v>
      </c>
    </row>
    <row r="46" spans="1:6" ht="15" thickBot="1">
      <c r="A46" s="188" t="str">
        <f t="shared" si="1"/>
        <v>Thursday</v>
      </c>
      <c r="B46" s="179">
        <v>41298.5</v>
      </c>
      <c r="C46" s="189" t="s">
        <v>1319</v>
      </c>
      <c r="D46" s="190" t="str">
        <f t="shared" si="2"/>
        <v>Thursday</v>
      </c>
      <c r="E46" s="179">
        <v>41298.5</v>
      </c>
      <c r="F46" s="191">
        <f t="shared" si="0"/>
        <v>0</v>
      </c>
    </row>
    <row r="48" spans="1:6">
      <c r="F48" s="195">
        <f>SUM(F1:F46)</f>
        <v>16.997777777840383</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dimension ref="A1:I955"/>
  <sheetViews>
    <sheetView workbookViewId="0">
      <pane xSplit="1" ySplit="2" topLeftCell="B123" activePane="bottomRight" state="frozen"/>
      <selection pane="topRight" activeCell="B1" sqref="B1"/>
      <selection pane="bottomLeft" activeCell="A3" sqref="A3"/>
      <selection pane="bottomRight" activeCell="D139" sqref="D139"/>
    </sheetView>
  </sheetViews>
  <sheetFormatPr defaultColWidth="9.109375" defaultRowHeight="13.2"/>
  <cols>
    <col min="1" max="1" width="20.5546875" style="196" customWidth="1"/>
    <col min="2" max="2" width="40.5546875" style="196" customWidth="1"/>
    <col min="3" max="3" width="10.109375" style="196" customWidth="1"/>
    <col min="4" max="4" width="11.44140625" style="198" customWidth="1"/>
    <col min="5" max="5" width="17.6640625" style="196" customWidth="1"/>
    <col min="6" max="7" width="9.109375" style="196"/>
    <col min="8" max="8" width="12.6640625" style="196" bestFit="1" customWidth="1"/>
    <col min="9" max="9" width="44.5546875" style="197" customWidth="1"/>
    <col min="10" max="16384" width="9.109375" style="196"/>
  </cols>
  <sheetData>
    <row r="1" spans="1:9" ht="30" customHeight="1">
      <c r="A1" s="237" t="s">
        <v>2854</v>
      </c>
      <c r="B1" s="488" t="s">
        <v>2853</v>
      </c>
      <c r="C1" s="489"/>
      <c r="D1" s="489"/>
      <c r="E1" s="490"/>
      <c r="F1" s="491">
        <v>40436</v>
      </c>
      <c r="G1" s="492"/>
      <c r="H1" s="493"/>
    </row>
    <row r="2" spans="1:9" ht="26.4">
      <c r="A2" s="236" t="s">
        <v>133</v>
      </c>
      <c r="B2" s="236" t="s">
        <v>2852</v>
      </c>
      <c r="C2" s="236" t="s">
        <v>136</v>
      </c>
      <c r="D2" s="236" t="s">
        <v>2851</v>
      </c>
      <c r="E2" s="236" t="s">
        <v>2850</v>
      </c>
      <c r="F2" s="236" t="s">
        <v>2849</v>
      </c>
      <c r="G2" s="236" t="s">
        <v>1372</v>
      </c>
      <c r="H2" s="235" t="s">
        <v>2848</v>
      </c>
    </row>
    <row r="3" spans="1:9">
      <c r="A3" s="233" t="s">
        <v>2847</v>
      </c>
      <c r="B3" s="233" t="s">
        <v>2846</v>
      </c>
      <c r="C3" s="233" t="s">
        <v>2845</v>
      </c>
      <c r="D3" s="234" t="s">
        <v>2844</v>
      </c>
      <c r="E3" s="233" t="s">
        <v>2843</v>
      </c>
      <c r="F3" s="233"/>
      <c r="G3" s="233"/>
      <c r="H3" s="233"/>
    </row>
    <row r="4" spans="1:9">
      <c r="A4" s="232" t="s">
        <v>2809</v>
      </c>
      <c r="B4" s="201" t="s">
        <v>2842</v>
      </c>
      <c r="C4" s="200" t="s">
        <v>2027</v>
      </c>
      <c r="D4" s="202" t="s">
        <v>2812</v>
      </c>
      <c r="E4" s="201"/>
      <c r="F4" s="200"/>
      <c r="G4" s="200"/>
      <c r="H4" s="199">
        <v>39462</v>
      </c>
      <c r="I4" s="197" t="str">
        <f t="shared" ref="I4:I67" si="0">IF(B4="","",B4)</f>
        <v>WORK COMPLETED</v>
      </c>
    </row>
    <row r="5" spans="1:9">
      <c r="A5" s="231" t="s">
        <v>2809</v>
      </c>
      <c r="B5" s="201" t="s">
        <v>2841</v>
      </c>
      <c r="C5" s="228" t="s">
        <v>2027</v>
      </c>
      <c r="D5" s="230" t="s">
        <v>2812</v>
      </c>
      <c r="E5" s="229"/>
      <c r="F5" s="228"/>
      <c r="G5" s="228"/>
      <c r="H5" s="199">
        <v>39462</v>
      </c>
      <c r="I5" s="197" t="str">
        <f t="shared" si="0"/>
        <v>WORK TO BE COMPLETED</v>
      </c>
    </row>
    <row r="6" spans="1:9">
      <c r="A6" s="205" t="s">
        <v>2807</v>
      </c>
      <c r="B6" s="201" t="s">
        <v>2806</v>
      </c>
      <c r="C6" s="200" t="s">
        <v>2027</v>
      </c>
      <c r="D6" s="202" t="s">
        <v>2812</v>
      </c>
      <c r="E6" s="201" t="s">
        <v>2840</v>
      </c>
      <c r="F6" s="200"/>
      <c r="G6" s="200"/>
      <c r="H6" s="199">
        <v>39462</v>
      </c>
      <c r="I6" s="197" t="str">
        <f t="shared" si="0"/>
        <v>MITIGATION</v>
      </c>
    </row>
    <row r="7" spans="1:9" ht="26.4">
      <c r="A7" s="205">
        <v>9000</v>
      </c>
      <c r="B7" s="201" t="s">
        <v>2839</v>
      </c>
      <c r="C7" s="200" t="s">
        <v>2027</v>
      </c>
      <c r="D7" s="202" t="s">
        <v>2812</v>
      </c>
      <c r="E7" s="201" t="s">
        <v>2839</v>
      </c>
      <c r="F7" s="200"/>
      <c r="G7" s="200"/>
      <c r="H7" s="199">
        <v>39462</v>
      </c>
      <c r="I7" s="197" t="str">
        <f t="shared" si="0"/>
        <v>CEF COST ESTIMATE</v>
      </c>
    </row>
    <row r="8" spans="1:9">
      <c r="A8" s="205">
        <v>9001</v>
      </c>
      <c r="B8" s="201" t="s">
        <v>2838</v>
      </c>
      <c r="C8" s="200" t="s">
        <v>2027</v>
      </c>
      <c r="D8" s="202" t="s">
        <v>2812</v>
      </c>
      <c r="E8" s="201" t="s">
        <v>2838</v>
      </c>
      <c r="F8" s="200"/>
      <c r="G8" s="200"/>
      <c r="H8" s="199">
        <v>39462</v>
      </c>
      <c r="I8" s="197" t="str">
        <f t="shared" si="0"/>
        <v>CONTRACT</v>
      </c>
    </row>
    <row r="9" spans="1:9">
      <c r="A9" s="205">
        <v>9003</v>
      </c>
      <c r="B9" s="201" t="s">
        <v>2837</v>
      </c>
      <c r="C9" s="200" t="s">
        <v>2027</v>
      </c>
      <c r="D9" s="202" t="s">
        <v>2812</v>
      </c>
      <c r="E9" s="201" t="s">
        <v>2837</v>
      </c>
      <c r="F9" s="200"/>
      <c r="G9" s="200"/>
      <c r="H9" s="199">
        <v>39462</v>
      </c>
      <c r="I9" s="197" t="str">
        <f t="shared" si="0"/>
        <v>CONTRACT COSTS</v>
      </c>
    </row>
    <row r="10" spans="1:9" ht="26.4">
      <c r="A10" s="205">
        <v>9004</v>
      </c>
      <c r="B10" s="201" t="s">
        <v>2836</v>
      </c>
      <c r="C10" s="200" t="s">
        <v>2027</v>
      </c>
      <c r="D10" s="202" t="s">
        <v>2812</v>
      </c>
      <c r="E10" s="201" t="s">
        <v>2836</v>
      </c>
      <c r="F10" s="200"/>
      <c r="G10" s="200"/>
      <c r="H10" s="199">
        <v>39462</v>
      </c>
      <c r="I10" s="197" t="str">
        <f t="shared" si="0"/>
        <v>RENTED EQUIPMENT</v>
      </c>
    </row>
    <row r="11" spans="1:9" ht="26.4">
      <c r="A11" s="205">
        <v>9005</v>
      </c>
      <c r="B11" s="201" t="s">
        <v>2835</v>
      </c>
      <c r="C11" s="200" t="s">
        <v>2027</v>
      </c>
      <c r="D11" s="202" t="s">
        <v>2812</v>
      </c>
      <c r="E11" s="201" t="s">
        <v>2835</v>
      </c>
      <c r="F11" s="200"/>
      <c r="G11" s="200"/>
      <c r="H11" s="199">
        <v>39462</v>
      </c>
      <c r="I11" s="197" t="str">
        <f t="shared" si="0"/>
        <v>LABOR, O/T W/O BENEFITS</v>
      </c>
    </row>
    <row r="12" spans="1:9" ht="26.4">
      <c r="A12" s="205">
        <v>9006</v>
      </c>
      <c r="B12" s="201" t="s">
        <v>2834</v>
      </c>
      <c r="C12" s="200" t="s">
        <v>2027</v>
      </c>
      <c r="D12" s="202" t="s">
        <v>2812</v>
      </c>
      <c r="E12" s="201" t="s">
        <v>2834</v>
      </c>
      <c r="F12" s="200"/>
      <c r="G12" s="200"/>
      <c r="H12" s="199">
        <v>39462</v>
      </c>
      <c r="I12" s="197" t="str">
        <f t="shared" si="0"/>
        <v>LABOR, W/O BENEFITS</v>
      </c>
    </row>
    <row r="13" spans="1:9">
      <c r="A13" s="205">
        <v>9007</v>
      </c>
      <c r="B13" s="201" t="s">
        <v>2833</v>
      </c>
      <c r="C13" s="200" t="s">
        <v>2027</v>
      </c>
      <c r="D13" s="202" t="s">
        <v>2812</v>
      </c>
      <c r="E13" s="201" t="s">
        <v>2833</v>
      </c>
      <c r="F13" s="200"/>
      <c r="G13" s="200"/>
      <c r="H13" s="199">
        <v>39462</v>
      </c>
      <c r="I13" s="197" t="str">
        <f t="shared" si="0"/>
        <v>LABOR</v>
      </c>
    </row>
    <row r="14" spans="1:9">
      <c r="A14" s="205">
        <v>9008</v>
      </c>
      <c r="B14" s="201" t="s">
        <v>2832</v>
      </c>
      <c r="C14" s="200" t="s">
        <v>2027</v>
      </c>
      <c r="D14" s="202" t="s">
        <v>2812</v>
      </c>
      <c r="E14" s="201" t="s">
        <v>2832</v>
      </c>
      <c r="F14" s="200"/>
      <c r="G14" s="200"/>
      <c r="H14" s="199">
        <v>39462</v>
      </c>
      <c r="I14" s="197" t="str">
        <f t="shared" si="0"/>
        <v>EQUIPMENT</v>
      </c>
    </row>
    <row r="15" spans="1:9">
      <c r="A15" s="205">
        <v>9009</v>
      </c>
      <c r="B15" s="201" t="s">
        <v>2831</v>
      </c>
      <c r="C15" s="200" t="s">
        <v>2027</v>
      </c>
      <c r="D15" s="202" t="s">
        <v>2812</v>
      </c>
      <c r="E15" s="201" t="s">
        <v>2831</v>
      </c>
      <c r="F15" s="200"/>
      <c r="G15" s="200"/>
      <c r="H15" s="199">
        <v>39462</v>
      </c>
      <c r="I15" s="197" t="str">
        <f t="shared" si="0"/>
        <v>MATERIAL</v>
      </c>
    </row>
    <row r="16" spans="1:9" ht="26.4">
      <c r="A16" s="205">
        <v>9010</v>
      </c>
      <c r="B16" s="201" t="s">
        <v>2830</v>
      </c>
      <c r="C16" s="200" t="s">
        <v>2675</v>
      </c>
      <c r="D16" s="202" t="s">
        <v>2812</v>
      </c>
      <c r="E16" s="201" t="s">
        <v>2830</v>
      </c>
      <c r="F16" s="200"/>
      <c r="G16" s="200"/>
      <c r="H16" s="199">
        <v>39462</v>
      </c>
      <c r="I16" s="197" t="str">
        <f t="shared" si="0"/>
        <v>LABORER  REGULAR TIME</v>
      </c>
    </row>
    <row r="17" spans="1:9" ht="26.4">
      <c r="A17" s="205">
        <v>9011</v>
      </c>
      <c r="B17" s="201" t="s">
        <v>2829</v>
      </c>
      <c r="C17" s="200" t="s">
        <v>2675</v>
      </c>
      <c r="D17" s="202" t="s">
        <v>2812</v>
      </c>
      <c r="E17" s="201" t="s">
        <v>2829</v>
      </c>
      <c r="F17" s="200"/>
      <c r="G17" s="200"/>
      <c r="H17" s="199">
        <v>39462</v>
      </c>
      <c r="I17" s="197" t="str">
        <f t="shared" si="0"/>
        <v>LABORER  OVERTIME</v>
      </c>
    </row>
    <row r="18" spans="1:9" ht="39.6">
      <c r="A18" s="205">
        <v>9012</v>
      </c>
      <c r="B18" s="201" t="s">
        <v>2828</v>
      </c>
      <c r="C18" s="200" t="s">
        <v>2675</v>
      </c>
      <c r="D18" s="202" t="s">
        <v>2812</v>
      </c>
      <c r="E18" s="201" t="s">
        <v>2828</v>
      </c>
      <c r="F18" s="200"/>
      <c r="G18" s="200"/>
      <c r="H18" s="199">
        <v>39462</v>
      </c>
      <c r="I18" s="197" t="str">
        <f t="shared" si="0"/>
        <v>EQUIPMENT OPERATOR  REGULAR TIME</v>
      </c>
    </row>
    <row r="19" spans="1:9" ht="39.6">
      <c r="A19" s="205">
        <v>9013</v>
      </c>
      <c r="B19" s="201" t="s">
        <v>2827</v>
      </c>
      <c r="C19" s="200" t="s">
        <v>2675</v>
      </c>
      <c r="D19" s="202" t="s">
        <v>2812</v>
      </c>
      <c r="E19" s="201" t="s">
        <v>2827</v>
      </c>
      <c r="F19" s="200"/>
      <c r="G19" s="200"/>
      <c r="H19" s="199">
        <v>39462</v>
      </c>
      <c r="I19" s="197" t="str">
        <f t="shared" si="0"/>
        <v>EQUIPMENT OPERATOR  OVERTIME</v>
      </c>
    </row>
    <row r="20" spans="1:9" ht="39.6">
      <c r="A20" s="205">
        <v>9014</v>
      </c>
      <c r="B20" s="201" t="s">
        <v>2826</v>
      </c>
      <c r="C20" s="200" t="s">
        <v>2675</v>
      </c>
      <c r="D20" s="202" t="s">
        <v>2812</v>
      </c>
      <c r="E20" s="201" t="s">
        <v>2826</v>
      </c>
      <c r="F20" s="200"/>
      <c r="G20" s="200"/>
      <c r="H20" s="199">
        <v>39462</v>
      </c>
      <c r="I20" s="197" t="str">
        <f t="shared" si="0"/>
        <v>WORKING FOREMAN  REGULAR TIME</v>
      </c>
    </row>
    <row r="21" spans="1:9" ht="39.6">
      <c r="A21" s="205">
        <v>9015</v>
      </c>
      <c r="B21" s="201" t="s">
        <v>2825</v>
      </c>
      <c r="C21" s="200" t="s">
        <v>2675</v>
      </c>
      <c r="D21" s="202" t="s">
        <v>2812</v>
      </c>
      <c r="E21" s="201" t="s">
        <v>2825</v>
      </c>
      <c r="F21" s="200"/>
      <c r="G21" s="200"/>
      <c r="H21" s="199">
        <v>39462</v>
      </c>
      <c r="I21" s="197" t="str">
        <f t="shared" si="0"/>
        <v>WORKING FOREMAN  OVERTIME</v>
      </c>
    </row>
    <row r="22" spans="1:9" ht="52.8">
      <c r="A22" s="205">
        <v>9016</v>
      </c>
      <c r="B22" s="201" t="s">
        <v>2824</v>
      </c>
      <c r="C22" s="200" t="s">
        <v>2675</v>
      </c>
      <c r="D22" s="202" t="s">
        <v>2812</v>
      </c>
      <c r="E22" s="201" t="s">
        <v>2824</v>
      </c>
      <c r="F22" s="200"/>
      <c r="G22" s="200"/>
      <c r="H22" s="199">
        <v>39462</v>
      </c>
      <c r="I22" s="197" t="str">
        <f t="shared" si="0"/>
        <v>EXTRA HIRE W/PAYROLL ADDITIVES  REGULAR TIME</v>
      </c>
    </row>
    <row r="23" spans="1:9" ht="52.8">
      <c r="A23" s="205">
        <v>9017</v>
      </c>
      <c r="B23" s="201" t="s">
        <v>2823</v>
      </c>
      <c r="C23" s="200" t="s">
        <v>2675</v>
      </c>
      <c r="D23" s="202" t="s">
        <v>2812</v>
      </c>
      <c r="E23" s="201" t="s">
        <v>2823</v>
      </c>
      <c r="F23" s="200"/>
      <c r="G23" s="200"/>
      <c r="H23" s="199">
        <v>39462</v>
      </c>
      <c r="I23" s="197" t="str">
        <f t="shared" si="0"/>
        <v>EXTRA HIRE  W/PAYROLL ADDITIVES  OVERTIME</v>
      </c>
    </row>
    <row r="24" spans="1:9" ht="26.4">
      <c r="A24" s="205">
        <v>9018</v>
      </c>
      <c r="B24" s="201" t="s">
        <v>2822</v>
      </c>
      <c r="C24" s="200" t="s">
        <v>2675</v>
      </c>
      <c r="D24" s="202" t="s">
        <v>2812</v>
      </c>
      <c r="E24" s="201" t="s">
        <v>2822</v>
      </c>
      <c r="F24" s="200"/>
      <c r="G24" s="200"/>
      <c r="H24" s="199">
        <v>39462</v>
      </c>
      <c r="I24" s="197" t="str">
        <f t="shared" si="0"/>
        <v>FIREFIGHTERS  OVERTIME</v>
      </c>
    </row>
    <row r="25" spans="1:9" ht="26.4">
      <c r="A25" s="205">
        <v>9019</v>
      </c>
      <c r="B25" s="201" t="s">
        <v>2821</v>
      </c>
      <c r="C25" s="200" t="s">
        <v>2675</v>
      </c>
      <c r="D25" s="202" t="s">
        <v>2812</v>
      </c>
      <c r="E25" s="201" t="s">
        <v>2821</v>
      </c>
      <c r="F25" s="200"/>
      <c r="G25" s="200"/>
      <c r="H25" s="199">
        <v>39462</v>
      </c>
      <c r="I25" s="197" t="str">
        <f t="shared" si="0"/>
        <v>POLICE  OVERTIME</v>
      </c>
    </row>
    <row r="26" spans="1:9" ht="26.4">
      <c r="A26" s="205">
        <v>9020</v>
      </c>
      <c r="B26" s="201" t="s">
        <v>2820</v>
      </c>
      <c r="C26" s="200" t="s">
        <v>2675</v>
      </c>
      <c r="D26" s="202" t="s">
        <v>2812</v>
      </c>
      <c r="E26" s="201" t="s">
        <v>2820</v>
      </c>
      <c r="F26" s="200"/>
      <c r="G26" s="200"/>
      <c r="H26" s="199">
        <v>39462</v>
      </c>
      <c r="I26" s="197" t="str">
        <f t="shared" si="0"/>
        <v>DISPATCHER  OVERTIME</v>
      </c>
    </row>
    <row r="27" spans="1:9">
      <c r="A27" s="205">
        <v>9021</v>
      </c>
      <c r="B27" s="201" t="s">
        <v>2819</v>
      </c>
      <c r="C27" s="200" t="s">
        <v>2675</v>
      </c>
      <c r="D27" s="202" t="s">
        <v>2812</v>
      </c>
      <c r="E27" s="201" t="s">
        <v>2819</v>
      </c>
      <c r="F27" s="200"/>
      <c r="G27" s="200"/>
      <c r="H27" s="199">
        <v>39462</v>
      </c>
      <c r="I27" s="197" t="str">
        <f t="shared" si="0"/>
        <v>CONTRACT LABOR</v>
      </c>
    </row>
    <row r="28" spans="1:9" ht="26.4">
      <c r="A28" s="205">
        <v>9025</v>
      </c>
      <c r="B28" s="201" t="s">
        <v>2818</v>
      </c>
      <c r="C28" s="200" t="s">
        <v>2027</v>
      </c>
      <c r="D28" s="202" t="s">
        <v>2812</v>
      </c>
      <c r="E28" s="201" t="s">
        <v>2818</v>
      </c>
      <c r="F28" s="200"/>
      <c r="G28" s="200"/>
      <c r="H28" s="199">
        <v>39462</v>
      </c>
      <c r="I28" s="197" t="str">
        <f t="shared" si="0"/>
        <v>CONTRACTUAL SERVICE</v>
      </c>
    </row>
    <row r="29" spans="1:9" ht="26.4">
      <c r="A29" s="205">
        <v>9026</v>
      </c>
      <c r="B29" s="201" t="s">
        <v>2818</v>
      </c>
      <c r="C29" s="200" t="s">
        <v>2027</v>
      </c>
      <c r="D29" s="202" t="s">
        <v>2812</v>
      </c>
      <c r="E29" s="201" t="s">
        <v>2818</v>
      </c>
      <c r="F29" s="200"/>
      <c r="G29" s="200"/>
      <c r="H29" s="199">
        <v>39462</v>
      </c>
      <c r="I29" s="197" t="str">
        <f t="shared" si="0"/>
        <v>CONTRACTUAL SERVICE</v>
      </c>
    </row>
    <row r="30" spans="1:9" ht="118.8">
      <c r="A30" s="205">
        <v>5900</v>
      </c>
      <c r="B30" s="201" t="s">
        <v>2125</v>
      </c>
      <c r="C30" s="200" t="s">
        <v>2027</v>
      </c>
      <c r="D30" s="202" t="s">
        <v>2812</v>
      </c>
      <c r="E30" s="201" t="s">
        <v>2817</v>
      </c>
      <c r="F30" s="200"/>
      <c r="G30" s="200"/>
      <c r="H30" s="199">
        <v>39462</v>
      </c>
      <c r="I30" s="197" t="str">
        <f t="shared" si="0"/>
        <v>DEDUCT ACTUAL INSURANCE PROCEEDS - LS</v>
      </c>
    </row>
    <row r="31" spans="1:9" ht="39.6">
      <c r="A31" s="205">
        <v>5901</v>
      </c>
      <c r="B31" s="201" t="s">
        <v>2123</v>
      </c>
      <c r="C31" s="200" t="s">
        <v>2027</v>
      </c>
      <c r="D31" s="202" t="s">
        <v>2812</v>
      </c>
      <c r="E31" s="201" t="s">
        <v>2816</v>
      </c>
      <c r="F31" s="200"/>
      <c r="G31" s="200"/>
      <c r="H31" s="199">
        <v>39462</v>
      </c>
      <c r="I31" s="197" t="str">
        <f t="shared" si="0"/>
        <v>DEDUCT ANTICIPATED INSURANCE PROCEEDS - LS</v>
      </c>
    </row>
    <row r="32" spans="1:9" ht="66">
      <c r="A32" s="205">
        <v>5902</v>
      </c>
      <c r="B32" s="201" t="s">
        <v>2121</v>
      </c>
      <c r="C32" s="200" t="s">
        <v>2027</v>
      </c>
      <c r="D32" s="202" t="s">
        <v>2812</v>
      </c>
      <c r="E32" s="201" t="s">
        <v>2815</v>
      </c>
      <c r="F32" s="200"/>
      <c r="G32" s="200"/>
      <c r="H32" s="199">
        <v>39462</v>
      </c>
      <c r="I32" s="197" t="str">
        <f t="shared" si="0"/>
        <v>MANDATORY NFIP REDUCTION - MAXIMUM PROCEEDS AVAILABLE - LS</v>
      </c>
    </row>
    <row r="33" spans="1:9" ht="66">
      <c r="A33" s="205">
        <v>5903</v>
      </c>
      <c r="B33" s="201" t="s">
        <v>2119</v>
      </c>
      <c r="C33" s="200" t="s">
        <v>2027</v>
      </c>
      <c r="D33" s="202" t="s">
        <v>2812</v>
      </c>
      <c r="E33" s="201" t="s">
        <v>2814</v>
      </c>
      <c r="F33" s="200"/>
      <c r="G33" s="200"/>
      <c r="H33" s="199">
        <v>39462</v>
      </c>
      <c r="I33" s="197" t="str">
        <f t="shared" si="0"/>
        <v>PREVIOUS DISASTER INSURANCE PURCHASE REQUIREMENT - LS</v>
      </c>
    </row>
    <row r="34" spans="1:9" ht="52.8">
      <c r="A34" s="205">
        <v>5904</v>
      </c>
      <c r="B34" s="201" t="s">
        <v>2117</v>
      </c>
      <c r="C34" s="200" t="s">
        <v>2027</v>
      </c>
      <c r="D34" s="202" t="s">
        <v>2812</v>
      </c>
      <c r="E34" s="201" t="s">
        <v>2813</v>
      </c>
      <c r="F34" s="200"/>
      <c r="G34" s="200"/>
      <c r="H34" s="199">
        <v>39462</v>
      </c>
      <c r="I34" s="197" t="str">
        <f t="shared" si="0"/>
        <v>DEDUCT ACTUAL FLOOD INSURANCE PROCEEDS - LS</v>
      </c>
    </row>
    <row r="35" spans="1:9" ht="66">
      <c r="A35" s="205">
        <v>5905</v>
      </c>
      <c r="B35" s="201" t="s">
        <v>2115</v>
      </c>
      <c r="C35" s="200" t="s">
        <v>2027</v>
      </c>
      <c r="D35" s="202" t="s">
        <v>2812</v>
      </c>
      <c r="E35" s="201" t="s">
        <v>2811</v>
      </c>
      <c r="F35" s="200"/>
      <c r="G35" s="200"/>
      <c r="H35" s="199">
        <v>39462</v>
      </c>
      <c r="I35" s="197" t="str">
        <f t="shared" si="0"/>
        <v>DEDUCT ANTICIPATED FLOOD INSURANCE PROCEEDS - LS</v>
      </c>
    </row>
    <row r="36" spans="1:9">
      <c r="A36" s="205"/>
      <c r="B36" s="201"/>
      <c r="C36" s="200"/>
      <c r="D36" s="202"/>
      <c r="E36" s="201"/>
      <c r="F36" s="200"/>
      <c r="G36" s="200"/>
      <c r="H36" s="199"/>
      <c r="I36" s="197" t="str">
        <f t="shared" si="0"/>
        <v/>
      </c>
    </row>
    <row r="37" spans="1:9">
      <c r="A37" s="213" t="s">
        <v>2809</v>
      </c>
      <c r="B37" s="211" t="s">
        <v>2810</v>
      </c>
      <c r="C37" s="211" t="s">
        <v>2027</v>
      </c>
      <c r="D37" s="215">
        <v>0</v>
      </c>
      <c r="E37" s="211"/>
      <c r="F37" s="211"/>
      <c r="G37" s="211"/>
      <c r="H37" s="210">
        <v>39645</v>
      </c>
      <c r="I37" s="197" t="str">
        <f t="shared" si="0"/>
        <v>Work Completed</v>
      </c>
    </row>
    <row r="38" spans="1:9">
      <c r="A38" s="213" t="s">
        <v>2809</v>
      </c>
      <c r="B38" s="211" t="s">
        <v>2808</v>
      </c>
      <c r="C38" s="211" t="s">
        <v>2027</v>
      </c>
      <c r="D38" s="215">
        <v>0</v>
      </c>
      <c r="E38" s="211"/>
      <c r="F38" s="211"/>
      <c r="G38" s="211"/>
      <c r="H38" s="210">
        <v>39645</v>
      </c>
      <c r="I38" s="197" t="str">
        <f t="shared" si="0"/>
        <v>Work to be Completed</v>
      </c>
    </row>
    <row r="39" spans="1:9">
      <c r="A39" s="225" t="s">
        <v>2807</v>
      </c>
      <c r="B39" s="223" t="s">
        <v>2806</v>
      </c>
      <c r="C39" s="223" t="s">
        <v>2027</v>
      </c>
      <c r="D39" s="215">
        <v>0</v>
      </c>
      <c r="E39" s="223"/>
      <c r="F39" s="223"/>
      <c r="G39" s="223"/>
      <c r="H39" s="210">
        <v>39645</v>
      </c>
      <c r="I39" s="197" t="str">
        <f t="shared" si="0"/>
        <v>MITIGATION</v>
      </c>
    </row>
    <row r="40" spans="1:9">
      <c r="A40" s="213" t="s">
        <v>2805</v>
      </c>
      <c r="B40" s="211" t="s">
        <v>2799</v>
      </c>
      <c r="C40" s="211" t="s">
        <v>2381</v>
      </c>
      <c r="D40" s="215">
        <v>0</v>
      </c>
      <c r="E40" s="211"/>
      <c r="F40" s="211"/>
      <c r="G40" s="211"/>
      <c r="H40" s="210">
        <v>39645</v>
      </c>
      <c r="I40" s="197" t="str">
        <f t="shared" si="0"/>
        <v>DEBRIS (SEDIMENTS, CONCENTRATED)</v>
      </c>
    </row>
    <row r="41" spans="1:9">
      <c r="A41" s="213" t="s">
        <v>2804</v>
      </c>
      <c r="B41" s="211" t="s">
        <v>2797</v>
      </c>
      <c r="C41" s="211" t="s">
        <v>2381</v>
      </c>
      <c r="D41" s="215">
        <v>0</v>
      </c>
      <c r="E41" s="211"/>
      <c r="F41" s="211"/>
      <c r="G41" s="211"/>
      <c r="H41" s="210">
        <v>39645</v>
      </c>
      <c r="I41" s="197" t="str">
        <f t="shared" si="0"/>
        <v>DEBRIS (SEDIMENTS, SCATTERED)</v>
      </c>
    </row>
    <row r="42" spans="1:9">
      <c r="A42" s="213" t="s">
        <v>2803</v>
      </c>
      <c r="B42" s="211" t="s">
        <v>2795</v>
      </c>
      <c r="C42" s="211" t="s">
        <v>2381</v>
      </c>
      <c r="D42" s="215">
        <v>0</v>
      </c>
      <c r="E42" s="211"/>
      <c r="F42" s="211"/>
      <c r="G42" s="211"/>
      <c r="H42" s="210">
        <v>39645</v>
      </c>
      <c r="I42" s="197" t="str">
        <f t="shared" si="0"/>
        <v>DEBRIS (Personal Property Curb)</v>
      </c>
    </row>
    <row r="43" spans="1:9">
      <c r="A43" s="213" t="s">
        <v>2802</v>
      </c>
      <c r="B43" s="211" t="s">
        <v>2793</v>
      </c>
      <c r="C43" s="211" t="s">
        <v>2381</v>
      </c>
      <c r="D43" s="215">
        <v>0</v>
      </c>
      <c r="E43" s="211"/>
      <c r="F43" s="211"/>
      <c r="G43" s="211"/>
      <c r="H43" s="210">
        <v>39645</v>
      </c>
      <c r="I43" s="197" t="str">
        <f t="shared" si="0"/>
        <v>DEBRIS (TREES &amp; LIMBS, CONCENTRATED)</v>
      </c>
    </row>
    <row r="44" spans="1:9">
      <c r="A44" s="216" t="s">
        <v>2801</v>
      </c>
      <c r="B44" s="214" t="s">
        <v>2791</v>
      </c>
      <c r="C44" s="214" t="s">
        <v>2381</v>
      </c>
      <c r="D44" s="215">
        <v>0</v>
      </c>
      <c r="E44" s="214"/>
      <c r="F44" s="214"/>
      <c r="G44" s="214"/>
      <c r="H44" s="210">
        <v>39644</v>
      </c>
      <c r="I44" s="197" t="str">
        <f t="shared" si="0"/>
        <v>DEBRIS (TREES &amp; LIMBS, SCATTERED)</v>
      </c>
    </row>
    <row r="45" spans="1:9">
      <c r="A45" s="213" t="s">
        <v>2800</v>
      </c>
      <c r="B45" s="211" t="s">
        <v>2799</v>
      </c>
      <c r="C45" s="211" t="s">
        <v>1873</v>
      </c>
      <c r="D45" s="215">
        <v>3.3</v>
      </c>
      <c r="E45" s="211"/>
      <c r="F45" s="211"/>
      <c r="G45" s="211"/>
      <c r="H45" s="210">
        <v>39869</v>
      </c>
      <c r="I45" s="197" t="str">
        <f t="shared" si="0"/>
        <v>DEBRIS (SEDIMENTS, CONCENTRATED)</v>
      </c>
    </row>
    <row r="46" spans="1:9">
      <c r="A46" s="213" t="s">
        <v>2798</v>
      </c>
      <c r="B46" s="211" t="s">
        <v>2797</v>
      </c>
      <c r="C46" s="211" t="s">
        <v>1873</v>
      </c>
      <c r="D46" s="215">
        <v>4</v>
      </c>
      <c r="E46" s="211"/>
      <c r="F46" s="211"/>
      <c r="G46" s="211"/>
      <c r="H46" s="210">
        <v>39869</v>
      </c>
      <c r="I46" s="197" t="str">
        <f t="shared" si="0"/>
        <v>DEBRIS (SEDIMENTS, SCATTERED)</v>
      </c>
    </row>
    <row r="47" spans="1:9">
      <c r="A47" s="213" t="s">
        <v>2796</v>
      </c>
      <c r="B47" s="211" t="s">
        <v>2795</v>
      </c>
      <c r="C47" s="211" t="s">
        <v>1873</v>
      </c>
      <c r="D47" s="215">
        <v>3.5</v>
      </c>
      <c r="E47" s="211"/>
      <c r="F47" s="211"/>
      <c r="G47" s="211"/>
      <c r="H47" s="210">
        <v>39552</v>
      </c>
      <c r="I47" s="197" t="str">
        <f t="shared" si="0"/>
        <v>DEBRIS (Personal Property Curb)</v>
      </c>
    </row>
    <row r="48" spans="1:9" ht="14.4">
      <c r="A48" s="213" t="s">
        <v>2794</v>
      </c>
      <c r="B48" s="211" t="s">
        <v>2793</v>
      </c>
      <c r="C48" s="211" t="s">
        <v>1873</v>
      </c>
      <c r="D48" s="215">
        <v>4</v>
      </c>
      <c r="E48" s="211"/>
      <c r="F48" s="211"/>
      <c r="G48" s="211"/>
      <c r="H48" s="217">
        <v>39552</v>
      </c>
      <c r="I48" s="197" t="str">
        <f t="shared" si="0"/>
        <v>DEBRIS (TREES &amp; LIMBS, CONCENTRATED)</v>
      </c>
    </row>
    <row r="49" spans="1:9" ht="14.4">
      <c r="A49" s="213" t="s">
        <v>2792</v>
      </c>
      <c r="B49" s="211" t="s">
        <v>2791</v>
      </c>
      <c r="C49" s="211" t="s">
        <v>1873</v>
      </c>
      <c r="D49" s="215">
        <v>6</v>
      </c>
      <c r="E49" s="211"/>
      <c r="F49" s="211"/>
      <c r="G49" s="211"/>
      <c r="H49" s="217">
        <v>39552</v>
      </c>
      <c r="I49" s="197" t="str">
        <f t="shared" si="0"/>
        <v>DEBRIS (TREES &amp; LIMBS, SCATTERED)</v>
      </c>
    </row>
    <row r="50" spans="1:9" ht="26.4">
      <c r="A50" s="213" t="s">
        <v>2790</v>
      </c>
      <c r="B50" s="211" t="s">
        <v>2789</v>
      </c>
      <c r="C50" s="211" t="s">
        <v>2636</v>
      </c>
      <c r="D50" s="215">
        <v>0</v>
      </c>
      <c r="E50" s="211"/>
      <c r="F50" s="211"/>
      <c r="G50" s="211"/>
      <c r="H50" s="217">
        <v>40878</v>
      </c>
      <c r="I50" s="197" t="str">
        <f t="shared" si="0"/>
        <v>DEBRIS (WINDBLOWN TREES ALONG RIGHT-OF-WAY (ROW) MAXIMUM DENSITY)</v>
      </c>
    </row>
    <row r="51" spans="1:9" ht="14.4">
      <c r="A51" s="213" t="s">
        <v>2788</v>
      </c>
      <c r="B51" s="211" t="s">
        <v>2787</v>
      </c>
      <c r="C51" s="211" t="s">
        <v>1873</v>
      </c>
      <c r="D51" s="212">
        <v>8</v>
      </c>
      <c r="E51" s="211"/>
      <c r="F51" s="211"/>
      <c r="G51" s="211"/>
      <c r="H51" s="217">
        <v>39552</v>
      </c>
      <c r="I51" s="197" t="str">
        <f t="shared" si="0"/>
        <v>DEBRIS (WATERWAY STRUCTURE)</v>
      </c>
    </row>
    <row r="52" spans="1:9" ht="26.4">
      <c r="A52" s="213" t="s">
        <v>2786</v>
      </c>
      <c r="B52" s="211" t="s">
        <v>2785</v>
      </c>
      <c r="C52" s="211" t="s">
        <v>1873</v>
      </c>
      <c r="D52" s="215">
        <v>0</v>
      </c>
      <c r="E52" s="211"/>
      <c r="F52" s="211"/>
      <c r="G52" s="211"/>
      <c r="H52" s="217">
        <v>40878</v>
      </c>
      <c r="I52" s="197" t="str">
        <f t="shared" si="0"/>
        <v>DEBRIS, TREE,(BROKEN UPROOTED, 8-18" DIAMETER)</v>
      </c>
    </row>
    <row r="53" spans="1:9" ht="26.4">
      <c r="A53" s="213" t="s">
        <v>2784</v>
      </c>
      <c r="B53" s="211" t="s">
        <v>2783</v>
      </c>
      <c r="C53" s="211" t="s">
        <v>1873</v>
      </c>
      <c r="D53" s="215">
        <v>0</v>
      </c>
      <c r="E53" s="211"/>
      <c r="F53" s="211"/>
      <c r="G53" s="211"/>
      <c r="H53" s="217">
        <v>40878</v>
      </c>
      <c r="I53" s="197" t="str">
        <f t="shared" si="0"/>
        <v>DEBRIS, TREE,(BROKEN UPROOTED, 19-36" DIAMETER)</v>
      </c>
    </row>
    <row r="54" spans="1:9" ht="26.4">
      <c r="A54" s="213" t="s">
        <v>2782</v>
      </c>
      <c r="B54" s="211" t="s">
        <v>2781</v>
      </c>
      <c r="C54" s="211" t="s">
        <v>1873</v>
      </c>
      <c r="D54" s="215">
        <v>0</v>
      </c>
      <c r="E54" s="211"/>
      <c r="F54" s="211"/>
      <c r="G54" s="211"/>
      <c r="H54" s="217">
        <v>40878</v>
      </c>
      <c r="I54" s="197" t="str">
        <f t="shared" si="0"/>
        <v>DEBRIS, TREE,(BROKEN UPROOTED, &gt;37" DIAMETER)</v>
      </c>
    </row>
    <row r="55" spans="1:9" ht="26.4">
      <c r="A55" s="213" t="s">
        <v>2780</v>
      </c>
      <c r="B55" s="211" t="s">
        <v>2779</v>
      </c>
      <c r="C55" s="211" t="s">
        <v>1806</v>
      </c>
      <c r="D55" s="212">
        <v>20</v>
      </c>
      <c r="E55" s="211"/>
      <c r="F55" s="211"/>
      <c r="G55" s="211"/>
      <c r="H55" s="217">
        <v>39552</v>
      </c>
      <c r="I55" s="197" t="str">
        <f t="shared" si="0"/>
        <v>DEBRIS (HAZORDOUS TREE LIMBS, Per Tree)</v>
      </c>
    </row>
    <row r="56" spans="1:9" ht="26.4">
      <c r="A56" s="216" t="s">
        <v>2778</v>
      </c>
      <c r="B56" s="214" t="s">
        <v>2777</v>
      </c>
      <c r="C56" s="214" t="s">
        <v>1806</v>
      </c>
      <c r="D56" s="215">
        <v>100</v>
      </c>
      <c r="E56" s="214"/>
      <c r="F56" s="214"/>
      <c r="G56" s="214"/>
      <c r="H56" s="217">
        <v>39552</v>
      </c>
      <c r="I56" s="197" t="str">
        <f t="shared" si="0"/>
        <v>DEBRIS TREES (BROKEN UPROOTED 8" - 18" DIAMETER)</v>
      </c>
    </row>
    <row r="57" spans="1:9" ht="26.4">
      <c r="A57" s="216" t="s">
        <v>2776</v>
      </c>
      <c r="B57" s="214" t="s">
        <v>2775</v>
      </c>
      <c r="C57" s="214" t="s">
        <v>1806</v>
      </c>
      <c r="D57" s="215">
        <v>150</v>
      </c>
      <c r="E57" s="214"/>
      <c r="F57" s="214"/>
      <c r="G57" s="214"/>
      <c r="H57" s="217">
        <v>39552</v>
      </c>
      <c r="I57" s="197" t="str">
        <f t="shared" si="0"/>
        <v>DEBRIS TREES (BROKEN UPROOTED 19" - 36" DIAMATER)</v>
      </c>
    </row>
    <row r="58" spans="1:9" ht="14.4">
      <c r="A58" s="216" t="s">
        <v>2774</v>
      </c>
      <c r="B58" s="214" t="s">
        <v>2773</v>
      </c>
      <c r="C58" s="214" t="s">
        <v>1806</v>
      </c>
      <c r="D58" s="215">
        <v>200</v>
      </c>
      <c r="E58" s="214"/>
      <c r="F58" s="214"/>
      <c r="G58" s="214"/>
      <c r="H58" s="217">
        <v>39552</v>
      </c>
      <c r="I58" s="197" t="str">
        <f t="shared" si="0"/>
        <v>DEBRIS (TRES 37" DIAMATER AND ABOVE)</v>
      </c>
    </row>
    <row r="59" spans="1:9" ht="26.4">
      <c r="A59" s="213" t="s">
        <v>2772</v>
      </c>
      <c r="B59" s="211" t="s">
        <v>2771</v>
      </c>
      <c r="C59" s="211" t="s">
        <v>1873</v>
      </c>
      <c r="D59" s="219">
        <v>28</v>
      </c>
      <c r="E59" s="211"/>
      <c r="F59" s="211"/>
      <c r="G59" s="211"/>
      <c r="H59" s="217">
        <v>40878</v>
      </c>
      <c r="I59" s="197" t="str">
        <f t="shared" si="0"/>
        <v>DEBRIS STUMPS REMOVAL (UPROOTED 8" - 18" DIAMETER)</v>
      </c>
    </row>
    <row r="60" spans="1:9" ht="26.4">
      <c r="A60" s="213" t="s">
        <v>2770</v>
      </c>
      <c r="B60" s="211" t="s">
        <v>2769</v>
      </c>
      <c r="C60" s="211" t="s">
        <v>1873</v>
      </c>
      <c r="D60" s="219">
        <v>32</v>
      </c>
      <c r="E60" s="211"/>
      <c r="F60" s="211"/>
      <c r="G60" s="211"/>
      <c r="H60" s="217">
        <v>40878</v>
      </c>
      <c r="I60" s="197" t="str">
        <f t="shared" si="0"/>
        <v>DEBRIS STUMPS REMOVAL (UPROOTED 19" - 36" DIAMETER)</v>
      </c>
    </row>
    <row r="61" spans="1:9" ht="26.4">
      <c r="A61" s="213" t="s">
        <v>2768</v>
      </c>
      <c r="B61" s="211" t="s">
        <v>2764</v>
      </c>
      <c r="C61" s="211" t="s">
        <v>1873</v>
      </c>
      <c r="D61" s="215">
        <v>36</v>
      </c>
      <c r="E61" s="211"/>
      <c r="F61" s="211"/>
      <c r="G61" s="211"/>
      <c r="H61" s="217" t="s">
        <v>2026</v>
      </c>
      <c r="I61" s="197" t="str">
        <f t="shared" si="0"/>
        <v>DEBRIS STUMPS REMOVAL (UPROOTED 37" DIAMETER AND OVER)</v>
      </c>
    </row>
    <row r="62" spans="1:9" ht="26.4">
      <c r="A62" s="216" t="s">
        <v>2767</v>
      </c>
      <c r="B62" s="214" t="s">
        <v>2766</v>
      </c>
      <c r="C62" s="214" t="s">
        <v>1806</v>
      </c>
      <c r="D62" s="215">
        <v>200</v>
      </c>
      <c r="E62" s="214"/>
      <c r="F62" s="214"/>
      <c r="G62" s="214"/>
      <c r="H62" s="217">
        <v>39869</v>
      </c>
      <c r="I62" s="197" t="str">
        <f t="shared" si="0"/>
        <v>DEBRIS STUMPS REMOVAL (UPROOTED 24"-36" DIAMETER)</v>
      </c>
    </row>
    <row r="63" spans="1:9" ht="26.4">
      <c r="A63" s="216" t="s">
        <v>2765</v>
      </c>
      <c r="B63" s="211" t="s">
        <v>2764</v>
      </c>
      <c r="C63" s="214" t="s">
        <v>1806</v>
      </c>
      <c r="D63" s="215">
        <v>250</v>
      </c>
      <c r="E63" s="214"/>
      <c r="F63" s="214"/>
      <c r="G63" s="214"/>
      <c r="H63" s="217">
        <v>39869</v>
      </c>
      <c r="I63" s="197" t="str">
        <f t="shared" si="0"/>
        <v>DEBRIS STUMPS REMOVAL (UPROOTED 37" DIAMETER AND OVER)</v>
      </c>
    </row>
    <row r="64" spans="1:9">
      <c r="A64" s="213" t="s">
        <v>2763</v>
      </c>
      <c r="B64" s="211" t="s">
        <v>2762</v>
      </c>
      <c r="C64" s="211" t="s">
        <v>1873</v>
      </c>
      <c r="D64" s="212">
        <v>1</v>
      </c>
      <c r="E64" s="211"/>
      <c r="F64" s="211"/>
      <c r="G64" s="211"/>
      <c r="H64" s="210">
        <v>39552</v>
      </c>
      <c r="I64" s="197" t="str">
        <f t="shared" si="0"/>
        <v>DUMP CHARGES (BURN - BURY)</v>
      </c>
    </row>
    <row r="65" spans="1:9">
      <c r="A65" s="213" t="s">
        <v>2761</v>
      </c>
      <c r="B65" s="211" t="s">
        <v>2759</v>
      </c>
      <c r="C65" s="211" t="s">
        <v>1873</v>
      </c>
      <c r="D65" s="212">
        <v>1.75</v>
      </c>
      <c r="E65" s="211"/>
      <c r="F65" s="211"/>
      <c r="G65" s="211"/>
      <c r="H65" s="210">
        <v>39552</v>
      </c>
      <c r="I65" s="197" t="str">
        <f t="shared" si="0"/>
        <v>DUMP CHARGES (LANDFILL DISPOSAL)</v>
      </c>
    </row>
    <row r="66" spans="1:9">
      <c r="A66" s="213" t="s">
        <v>2760</v>
      </c>
      <c r="B66" s="211" t="s">
        <v>2759</v>
      </c>
      <c r="C66" s="211" t="s">
        <v>2381</v>
      </c>
      <c r="D66" s="212">
        <v>4</v>
      </c>
      <c r="E66" s="211"/>
      <c r="F66" s="211"/>
      <c r="G66" s="211"/>
      <c r="H66" s="210">
        <v>39624</v>
      </c>
      <c r="I66" s="197" t="str">
        <f t="shared" si="0"/>
        <v>DUMP CHARGES (LANDFILL DISPOSAL)</v>
      </c>
    </row>
    <row r="67" spans="1:9" ht="26.4">
      <c r="A67" s="213" t="s">
        <v>2758</v>
      </c>
      <c r="B67" s="211" t="s">
        <v>2757</v>
      </c>
      <c r="C67" s="211" t="s">
        <v>1806</v>
      </c>
      <c r="D67" s="212">
        <v>5</v>
      </c>
      <c r="E67" s="211"/>
      <c r="F67" s="211"/>
      <c r="G67" s="211"/>
      <c r="H67" s="210">
        <v>39552</v>
      </c>
      <c r="I67" s="197" t="str">
        <f t="shared" si="0"/>
        <v>DEBRIS CONTAINERS (W/0 DUMP CHARGES) 2 CY PER PICKUP</v>
      </c>
    </row>
    <row r="68" spans="1:9" ht="26.4">
      <c r="A68" s="213" t="s">
        <v>2756</v>
      </c>
      <c r="B68" s="211" t="s">
        <v>2755</v>
      </c>
      <c r="C68" s="211" t="s">
        <v>1806</v>
      </c>
      <c r="D68" s="212">
        <v>7.5</v>
      </c>
      <c r="E68" s="211"/>
      <c r="F68" s="211"/>
      <c r="G68" s="211"/>
      <c r="H68" s="210">
        <v>39552</v>
      </c>
      <c r="I68" s="197" t="str">
        <f t="shared" ref="I68:I131" si="1">IF(B68="","",B68)</f>
        <v>DEBRIS CONTAINERS (W/0 DUMP CHARGES) 3 CY PER PICKUP</v>
      </c>
    </row>
    <row r="69" spans="1:9" ht="26.4">
      <c r="A69" s="213" t="s">
        <v>2754</v>
      </c>
      <c r="B69" s="211" t="s">
        <v>2753</v>
      </c>
      <c r="C69" s="211" t="s">
        <v>1806</v>
      </c>
      <c r="D69" s="212">
        <v>10</v>
      </c>
      <c r="E69" s="211"/>
      <c r="F69" s="211"/>
      <c r="G69" s="211"/>
      <c r="H69" s="210">
        <v>39552</v>
      </c>
      <c r="I69" s="197" t="str">
        <f t="shared" si="1"/>
        <v>DEBRIS CONTAINERS (W/0 DUMP CHARGES) 4 CY PER PICKUP</v>
      </c>
    </row>
    <row r="70" spans="1:9" ht="26.4">
      <c r="A70" s="213" t="s">
        <v>2752</v>
      </c>
      <c r="B70" s="211" t="s">
        <v>2751</v>
      </c>
      <c r="C70" s="211" t="s">
        <v>1806</v>
      </c>
      <c r="D70" s="212">
        <v>20</v>
      </c>
      <c r="E70" s="211"/>
      <c r="F70" s="211"/>
      <c r="G70" s="211"/>
      <c r="H70" s="210">
        <v>39552</v>
      </c>
      <c r="I70" s="197" t="str">
        <f t="shared" si="1"/>
        <v>DEBRIS CONTAINERS (W/O DUMP CHARGES) 8 CY PER PICKUP</v>
      </c>
    </row>
    <row r="71" spans="1:9" ht="26.4">
      <c r="A71" s="213" t="s">
        <v>2750</v>
      </c>
      <c r="B71" s="211" t="s">
        <v>2749</v>
      </c>
      <c r="C71" s="211" t="s">
        <v>1806</v>
      </c>
      <c r="D71" s="212">
        <v>155</v>
      </c>
      <c r="E71" s="211"/>
      <c r="F71" s="211"/>
      <c r="G71" s="211"/>
      <c r="H71" s="210">
        <v>39552</v>
      </c>
      <c r="I71" s="197" t="str">
        <f t="shared" si="1"/>
        <v>DEBRIS CONTAINERS (W/O DUMP CHARGES) 20 CY PER PICKUP</v>
      </c>
    </row>
    <row r="72" spans="1:9" ht="26.4">
      <c r="A72" s="213" t="s">
        <v>2748</v>
      </c>
      <c r="B72" s="211" t="s">
        <v>2747</v>
      </c>
      <c r="C72" s="211" t="s">
        <v>1806</v>
      </c>
      <c r="D72" s="212">
        <v>165</v>
      </c>
      <c r="E72" s="211"/>
      <c r="F72" s="211"/>
      <c r="G72" s="211"/>
      <c r="H72" s="210">
        <v>39552</v>
      </c>
      <c r="I72" s="197" t="str">
        <f t="shared" si="1"/>
        <v>DEBRIS CONTAINERS (W/O DUMP CHARGES) 30 CY PER PICKUP</v>
      </c>
    </row>
    <row r="73" spans="1:9" ht="26.4">
      <c r="A73" s="213" t="s">
        <v>2746</v>
      </c>
      <c r="B73" s="211" t="s">
        <v>2745</v>
      </c>
      <c r="C73" s="211" t="s">
        <v>1806</v>
      </c>
      <c r="D73" s="212">
        <v>175</v>
      </c>
      <c r="E73" s="211"/>
      <c r="F73" s="211"/>
      <c r="G73" s="211"/>
      <c r="H73" s="210">
        <v>39552</v>
      </c>
      <c r="I73" s="197" t="str">
        <f t="shared" si="1"/>
        <v>DEBRIS CONTAINERS (W/O DUMP CHARGES) 40 CY PER PICKUP</v>
      </c>
    </row>
    <row r="74" spans="1:9" ht="26.4">
      <c r="A74" s="213" t="s">
        <v>2744</v>
      </c>
      <c r="B74" s="211" t="s">
        <v>2743</v>
      </c>
      <c r="C74" s="211" t="s">
        <v>1806</v>
      </c>
      <c r="D74" s="219">
        <v>185</v>
      </c>
      <c r="E74" s="211"/>
      <c r="F74" s="211"/>
      <c r="G74" s="211"/>
      <c r="H74" s="217">
        <v>40878</v>
      </c>
      <c r="I74" s="197" t="str">
        <f t="shared" si="1"/>
        <v>DEBRIS CONTAINERS (W/O DUMP CHARGES) 50 CY PER PICKUP</v>
      </c>
    </row>
    <row r="75" spans="1:9">
      <c r="A75" s="213" t="s">
        <v>2742</v>
      </c>
      <c r="B75" s="211" t="s">
        <v>2741</v>
      </c>
      <c r="C75" s="211" t="s">
        <v>1873</v>
      </c>
      <c r="D75" s="212">
        <v>3.4</v>
      </c>
      <c r="E75" s="211"/>
      <c r="F75" s="211"/>
      <c r="G75" s="211"/>
      <c r="H75" s="210">
        <v>39552</v>
      </c>
      <c r="I75" s="197" t="str">
        <f t="shared" si="1"/>
        <v>DEBRIS (SANDBAGS - MACHINE LOAD)</v>
      </c>
    </row>
    <row r="76" spans="1:9">
      <c r="A76" s="213" t="s">
        <v>2740</v>
      </c>
      <c r="B76" s="211" t="s">
        <v>2739</v>
      </c>
      <c r="C76" s="211" t="s">
        <v>1873</v>
      </c>
      <c r="D76" s="212">
        <v>4.5</v>
      </c>
      <c r="E76" s="211"/>
      <c r="F76" s="211"/>
      <c r="G76" s="211"/>
      <c r="H76" s="210">
        <v>39552</v>
      </c>
      <c r="I76" s="197" t="str">
        <f t="shared" si="1"/>
        <v>DEBRIS (SANDBAGS - HAND LOAD)</v>
      </c>
    </row>
    <row r="77" spans="1:9">
      <c r="A77" s="213" t="s">
        <v>2738</v>
      </c>
      <c r="B77" s="211" t="s">
        <v>2737</v>
      </c>
      <c r="C77" s="211" t="s">
        <v>2636</v>
      </c>
      <c r="D77" s="212">
        <v>400</v>
      </c>
      <c r="E77" s="211"/>
      <c r="F77" s="211"/>
      <c r="G77" s="211"/>
      <c r="H77" s="210">
        <v>39552</v>
      </c>
      <c r="I77" s="197" t="str">
        <f t="shared" si="1"/>
        <v>DEBRIS (FLOATABLE ON LEVEE)</v>
      </c>
    </row>
    <row r="78" spans="1:9">
      <c r="A78" s="213" t="s">
        <v>2736</v>
      </c>
      <c r="B78" s="211" t="s">
        <v>2735</v>
      </c>
      <c r="C78" s="211" t="s">
        <v>1873</v>
      </c>
      <c r="D78" s="212">
        <v>2.5</v>
      </c>
      <c r="E78" s="211"/>
      <c r="F78" s="211"/>
      <c r="G78" s="211"/>
      <c r="H78" s="210">
        <v>39552</v>
      </c>
      <c r="I78" s="197" t="str">
        <f t="shared" si="1"/>
        <v>DEBRIS (EARTH FILL - LEVEE)</v>
      </c>
    </row>
    <row r="79" spans="1:9">
      <c r="A79" s="213" t="s">
        <v>2734</v>
      </c>
      <c r="B79" s="211" t="s">
        <v>268</v>
      </c>
      <c r="C79" s="211" t="s">
        <v>1873</v>
      </c>
      <c r="D79" s="212">
        <v>4</v>
      </c>
      <c r="E79" s="211"/>
      <c r="F79" s="211"/>
      <c r="G79" s="211"/>
      <c r="H79" s="210">
        <v>39552</v>
      </c>
      <c r="I79" s="197" t="str">
        <f t="shared" si="1"/>
        <v>DEBRIS (SMALL ROAD SLIDE)</v>
      </c>
    </row>
    <row r="80" spans="1:9" ht="26.4">
      <c r="A80" s="213" t="s">
        <v>2733</v>
      </c>
      <c r="B80" s="211" t="s">
        <v>2732</v>
      </c>
      <c r="C80" s="211" t="s">
        <v>1873</v>
      </c>
      <c r="D80" s="212">
        <v>1.25</v>
      </c>
      <c r="E80" s="211"/>
      <c r="F80" s="211"/>
      <c r="G80" s="211"/>
      <c r="H80" s="210">
        <v>39552</v>
      </c>
      <c r="I80" s="197" t="str">
        <f t="shared" si="1"/>
        <v>DEBRIS (CHANNEL EXCAVATION WITH SPOIL BANK)</v>
      </c>
    </row>
    <row r="81" spans="1:9">
      <c r="A81" s="213" t="s">
        <v>2731</v>
      </c>
      <c r="B81" s="211" t="s">
        <v>2730</v>
      </c>
      <c r="C81" s="211" t="s">
        <v>1873</v>
      </c>
      <c r="D81" s="212">
        <v>5</v>
      </c>
      <c r="E81" s="211"/>
      <c r="F81" s="211"/>
      <c r="G81" s="211"/>
      <c r="H81" s="210">
        <v>39552</v>
      </c>
      <c r="I81" s="197" t="str">
        <f t="shared" si="1"/>
        <v>DEBRIS (CHANNEL EXCAVATION AND HAUL)</v>
      </c>
    </row>
    <row r="82" spans="1:9" ht="26.4">
      <c r="A82" s="213" t="s">
        <v>2729</v>
      </c>
      <c r="B82" s="211" t="s">
        <v>2728</v>
      </c>
      <c r="C82" s="211" t="s">
        <v>1873</v>
      </c>
      <c r="D82" s="212">
        <v>0</v>
      </c>
      <c r="E82" s="211"/>
      <c r="F82" s="211"/>
      <c r="G82" s="211"/>
      <c r="H82" s="210">
        <v>39552</v>
      </c>
      <c r="I82" s="197" t="str">
        <f t="shared" si="1"/>
        <v>DEDUCT APPLICANT'S SHARE (SPOIL BANK)</v>
      </c>
    </row>
    <row r="83" spans="1:9">
      <c r="A83" s="213" t="s">
        <v>2727</v>
      </c>
      <c r="B83" s="211" t="s">
        <v>2726</v>
      </c>
      <c r="C83" s="211" t="s">
        <v>1873</v>
      </c>
      <c r="D83" s="212">
        <v>0</v>
      </c>
      <c r="E83" s="211"/>
      <c r="F83" s="211"/>
      <c r="G83" s="211"/>
      <c r="H83" s="210">
        <v>39552</v>
      </c>
      <c r="I83" s="197" t="str">
        <f t="shared" si="1"/>
        <v>DEDUCT APPLICANT'S SHARE (HAUL)</v>
      </c>
    </row>
    <row r="84" spans="1:9" ht="14.4">
      <c r="A84" s="213" t="s">
        <v>2725</v>
      </c>
      <c r="B84" s="211" t="s">
        <v>2724</v>
      </c>
      <c r="C84" s="211" t="s">
        <v>2721</v>
      </c>
      <c r="D84" s="219">
        <v>0.34</v>
      </c>
      <c r="E84" s="211"/>
      <c r="F84" s="211"/>
      <c r="G84" s="211"/>
      <c r="H84" s="217">
        <v>40878</v>
      </c>
      <c r="I84" s="197" t="str">
        <f t="shared" si="1"/>
        <v>DEMOLITION (RESIDENTIAL STRUCTURE)</v>
      </c>
    </row>
    <row r="85" spans="1:9" ht="14.4">
      <c r="A85" s="213" t="s">
        <v>2723</v>
      </c>
      <c r="B85" s="211" t="s">
        <v>2722</v>
      </c>
      <c r="C85" s="211" t="s">
        <v>2721</v>
      </c>
      <c r="D85" s="219">
        <v>1.1399999999999999</v>
      </c>
      <c r="E85" s="211"/>
      <c r="F85" s="211"/>
      <c r="G85" s="211"/>
      <c r="H85" s="217">
        <v>40878</v>
      </c>
      <c r="I85" s="197" t="str">
        <f t="shared" si="1"/>
        <v>DEMOLITION (COMMERCIAL STRUCTURE)</v>
      </c>
    </row>
    <row r="86" spans="1:9" ht="14.4">
      <c r="A86" s="216" t="s">
        <v>2720</v>
      </c>
      <c r="B86" s="214" t="s">
        <v>2719</v>
      </c>
      <c r="C86" s="214" t="s">
        <v>2675</v>
      </c>
      <c r="D86" s="215">
        <v>0</v>
      </c>
      <c r="E86" s="214"/>
      <c r="F86" s="214"/>
      <c r="G86" s="214"/>
      <c r="H86" s="217">
        <v>39552</v>
      </c>
      <c r="I86" s="197" t="str">
        <f t="shared" si="1"/>
        <v>POLICE OVERTIME</v>
      </c>
    </row>
    <row r="87" spans="1:9" ht="14.4">
      <c r="A87" s="216" t="s">
        <v>2718</v>
      </c>
      <c r="B87" s="214" t="s">
        <v>2717</v>
      </c>
      <c r="C87" s="214" t="s">
        <v>2675</v>
      </c>
      <c r="D87" s="215">
        <v>0</v>
      </c>
      <c r="E87" s="214"/>
      <c r="F87" s="214"/>
      <c r="G87" s="214"/>
      <c r="H87" s="217">
        <v>39552</v>
      </c>
      <c r="I87" s="197" t="str">
        <f t="shared" si="1"/>
        <v>FIRE OVERTIME</v>
      </c>
    </row>
    <row r="88" spans="1:9">
      <c r="A88" s="213" t="s">
        <v>2716</v>
      </c>
      <c r="B88" s="211" t="s">
        <v>2715</v>
      </c>
      <c r="C88" s="211" t="s">
        <v>2675</v>
      </c>
      <c r="D88" s="212">
        <v>0</v>
      </c>
      <c r="E88" s="211"/>
      <c r="F88" s="211"/>
      <c r="G88" s="211"/>
      <c r="H88" s="210">
        <v>39552</v>
      </c>
      <c r="I88" s="197" t="str">
        <f t="shared" si="1"/>
        <v>TEMPORARY EMPLOYEE LABOR</v>
      </c>
    </row>
    <row r="89" spans="1:9">
      <c r="A89" s="213" t="s">
        <v>2714</v>
      </c>
      <c r="B89" s="211" t="s">
        <v>2713</v>
      </c>
      <c r="C89" s="211" t="s">
        <v>1876</v>
      </c>
      <c r="D89" s="212">
        <v>0.03</v>
      </c>
      <c r="E89" s="211"/>
      <c r="F89" s="211"/>
      <c r="G89" s="211"/>
      <c r="H89" s="210">
        <v>39552</v>
      </c>
      <c r="I89" s="197" t="str">
        <f t="shared" si="1"/>
        <v>POLYETHYLENE</v>
      </c>
    </row>
    <row r="90" spans="1:9" ht="14.4">
      <c r="A90" s="216" t="s">
        <v>2712</v>
      </c>
      <c r="B90" s="214" t="s">
        <v>2711</v>
      </c>
      <c r="C90" s="214" t="s">
        <v>1876</v>
      </c>
      <c r="D90" s="215">
        <v>0.65</v>
      </c>
      <c r="E90" s="214"/>
      <c r="F90" s="214"/>
      <c r="G90" s="214"/>
      <c r="H90" s="217">
        <v>39553</v>
      </c>
      <c r="I90" s="197" t="str">
        <f t="shared" si="1"/>
        <v>PLYWOOD SHEETING</v>
      </c>
    </row>
    <row r="91" spans="1:9">
      <c r="A91" s="213" t="s">
        <v>2710</v>
      </c>
      <c r="B91" s="211" t="s">
        <v>2709</v>
      </c>
      <c r="C91" s="211" t="s">
        <v>1806</v>
      </c>
      <c r="D91" s="212">
        <v>0.27</v>
      </c>
      <c r="E91" s="211"/>
      <c r="F91" s="211"/>
      <c r="G91" s="211"/>
      <c r="H91" s="210">
        <v>39553</v>
      </c>
      <c r="I91" s="197" t="str">
        <f t="shared" si="1"/>
        <v>SANDBAGS (PURCHASED)</v>
      </c>
    </row>
    <row r="92" spans="1:9">
      <c r="A92" s="213" t="s">
        <v>2708</v>
      </c>
      <c r="B92" s="211" t="s">
        <v>2707</v>
      </c>
      <c r="C92" s="211" t="s">
        <v>2381</v>
      </c>
      <c r="D92" s="212">
        <v>7</v>
      </c>
      <c r="E92" s="211"/>
      <c r="F92" s="211"/>
      <c r="G92" s="211"/>
      <c r="H92" s="210">
        <v>39553</v>
      </c>
      <c r="I92" s="197" t="str">
        <f t="shared" si="1"/>
        <v>SAND (DELIVERED)</v>
      </c>
    </row>
    <row r="93" spans="1:9">
      <c r="A93" s="213" t="s">
        <v>2706</v>
      </c>
      <c r="B93" s="211" t="s">
        <v>2705</v>
      </c>
      <c r="C93" s="211" t="s">
        <v>1873</v>
      </c>
      <c r="D93" s="212">
        <v>20</v>
      </c>
      <c r="E93" s="211"/>
      <c r="F93" s="211"/>
      <c r="G93" s="211"/>
      <c r="H93" s="210">
        <v>39553</v>
      </c>
      <c r="I93" s="197" t="str">
        <f t="shared" si="1"/>
        <v>SANDBAGS  FILLED &amp; PLACED</v>
      </c>
    </row>
    <row r="94" spans="1:9">
      <c r="A94" s="213" t="s">
        <v>2704</v>
      </c>
      <c r="B94" s="211" t="s">
        <v>2703</v>
      </c>
      <c r="C94" s="211" t="s">
        <v>1873</v>
      </c>
      <c r="D94" s="212">
        <v>4</v>
      </c>
      <c r="E94" s="211"/>
      <c r="F94" s="211"/>
      <c r="G94" s="211"/>
      <c r="H94" s="210">
        <v>39553</v>
      </c>
      <c r="I94" s="197" t="str">
        <f t="shared" si="1"/>
        <v>LEVEE  EMERGENCY REPAIR (FILL)</v>
      </c>
    </row>
    <row r="95" spans="1:9">
      <c r="A95" s="213" t="s">
        <v>2702</v>
      </c>
      <c r="B95" s="211" t="s">
        <v>2701</v>
      </c>
      <c r="C95" s="211" t="s">
        <v>1873</v>
      </c>
      <c r="D95" s="212">
        <v>6</v>
      </c>
      <c r="E95" s="211"/>
      <c r="F95" s="211"/>
      <c r="G95" s="211"/>
      <c r="H95" s="210">
        <v>39553</v>
      </c>
      <c r="I95" s="197" t="str">
        <f t="shared" si="1"/>
        <v>LEVEE  EARTHEN</v>
      </c>
    </row>
    <row r="96" spans="1:9" ht="14.4">
      <c r="A96" s="213" t="s">
        <v>2700</v>
      </c>
      <c r="B96" s="211" t="s">
        <v>2699</v>
      </c>
      <c r="C96" s="211" t="s">
        <v>1806</v>
      </c>
      <c r="D96" s="219">
        <v>35</v>
      </c>
      <c r="E96" s="211"/>
      <c r="F96" s="211"/>
      <c r="G96" s="211"/>
      <c r="H96" s="217">
        <v>40878</v>
      </c>
      <c r="I96" s="197" t="str">
        <f t="shared" si="1"/>
        <v>TOW VEHICLES</v>
      </c>
    </row>
    <row r="97" spans="1:9" ht="14.4">
      <c r="A97" s="213" t="s">
        <v>2698</v>
      </c>
      <c r="B97" s="211" t="s">
        <v>2697</v>
      </c>
      <c r="C97" s="211" t="s">
        <v>2675</v>
      </c>
      <c r="D97" s="219">
        <v>36</v>
      </c>
      <c r="E97" s="211"/>
      <c r="F97" s="211"/>
      <c r="G97" s="211"/>
      <c r="H97" s="217">
        <v>40878</v>
      </c>
      <c r="I97" s="197" t="str">
        <f t="shared" si="1"/>
        <v>TOWING AND WINCHING  WRECKER TRUCK</v>
      </c>
    </row>
    <row r="98" spans="1:9">
      <c r="A98" s="213" t="s">
        <v>2696</v>
      </c>
      <c r="B98" s="211" t="s">
        <v>2695</v>
      </c>
      <c r="C98" s="211" t="s">
        <v>2675</v>
      </c>
      <c r="D98" s="215">
        <v>0</v>
      </c>
      <c r="E98" s="211"/>
      <c r="F98" s="211"/>
      <c r="G98" s="211"/>
      <c r="H98" s="210">
        <v>39553</v>
      </c>
      <c r="I98" s="197" t="str">
        <f t="shared" si="1"/>
        <v>PUMPS (3")</v>
      </c>
    </row>
    <row r="99" spans="1:9">
      <c r="A99" s="213" t="s">
        <v>2694</v>
      </c>
      <c r="B99" s="211" t="s">
        <v>331</v>
      </c>
      <c r="C99" s="211" t="s">
        <v>2675</v>
      </c>
      <c r="D99" s="212">
        <v>0</v>
      </c>
      <c r="E99" s="211"/>
      <c r="F99" s="211"/>
      <c r="G99" s="211"/>
      <c r="H99" s="210">
        <v>39553</v>
      </c>
      <c r="I99" s="197" t="str">
        <f t="shared" si="1"/>
        <v>PUMPS (4")</v>
      </c>
    </row>
    <row r="100" spans="1:9">
      <c r="A100" s="213" t="s">
        <v>2693</v>
      </c>
      <c r="B100" s="211" t="s">
        <v>2692</v>
      </c>
      <c r="C100" s="211" t="s">
        <v>2675</v>
      </c>
      <c r="D100" s="212">
        <v>0</v>
      </c>
      <c r="E100" s="211"/>
      <c r="F100" s="211"/>
      <c r="G100" s="211"/>
      <c r="H100" s="210">
        <v>39553</v>
      </c>
      <c r="I100" s="197" t="str">
        <f t="shared" si="1"/>
        <v>PUMPS (6")</v>
      </c>
    </row>
    <row r="101" spans="1:9">
      <c r="A101" s="213" t="s">
        <v>2691</v>
      </c>
      <c r="B101" s="211" t="s">
        <v>2690</v>
      </c>
      <c r="C101" s="211" t="s">
        <v>2675</v>
      </c>
      <c r="D101" s="212">
        <v>0</v>
      </c>
      <c r="E101" s="211"/>
      <c r="F101" s="211"/>
      <c r="G101" s="211"/>
      <c r="H101" s="210">
        <v>39553</v>
      </c>
      <c r="I101" s="197" t="str">
        <f t="shared" si="1"/>
        <v>PUMPS (8")</v>
      </c>
    </row>
    <row r="102" spans="1:9">
      <c r="A102" s="213" t="s">
        <v>2689</v>
      </c>
      <c r="B102" s="211" t="s">
        <v>2688</v>
      </c>
      <c r="C102" s="211" t="s">
        <v>2675</v>
      </c>
      <c r="D102" s="212">
        <v>0</v>
      </c>
      <c r="E102" s="211"/>
      <c r="F102" s="211"/>
      <c r="G102" s="211"/>
      <c r="H102" s="210">
        <v>39553</v>
      </c>
      <c r="I102" s="197" t="str">
        <f t="shared" si="1"/>
        <v>PUMPS (10")</v>
      </c>
    </row>
    <row r="103" spans="1:9">
      <c r="A103" s="213" t="s">
        <v>2687</v>
      </c>
      <c r="B103" s="211" t="s">
        <v>2686</v>
      </c>
      <c r="C103" s="211" t="s">
        <v>2675</v>
      </c>
      <c r="D103" s="212">
        <v>0</v>
      </c>
      <c r="E103" s="211"/>
      <c r="F103" s="211"/>
      <c r="G103" s="211"/>
      <c r="H103" s="210">
        <v>39553</v>
      </c>
      <c r="I103" s="197" t="str">
        <f t="shared" si="1"/>
        <v>PUMPS (12")</v>
      </c>
    </row>
    <row r="104" spans="1:9">
      <c r="A104" s="213" t="s">
        <v>2685</v>
      </c>
      <c r="B104" s="211" t="s">
        <v>2684</v>
      </c>
      <c r="C104" s="211" t="s">
        <v>2027</v>
      </c>
      <c r="D104" s="212">
        <v>0</v>
      </c>
      <c r="E104" s="211"/>
      <c r="F104" s="211"/>
      <c r="G104" s="211"/>
      <c r="H104" s="210">
        <v>39553</v>
      </c>
      <c r="I104" s="197" t="str">
        <f t="shared" si="1"/>
        <v>PUMP COST FOR EMERGENCY PHASE</v>
      </c>
    </row>
    <row r="105" spans="1:9" ht="26.4">
      <c r="A105" s="213" t="s">
        <v>2683</v>
      </c>
      <c r="B105" s="211" t="s">
        <v>2682</v>
      </c>
      <c r="C105" s="211" t="s">
        <v>2027</v>
      </c>
      <c r="D105" s="212">
        <v>0</v>
      </c>
      <c r="E105" s="211"/>
      <c r="F105" s="211"/>
      <c r="G105" s="211"/>
      <c r="H105" s="210">
        <v>39553</v>
      </c>
      <c r="I105" s="197" t="str">
        <f t="shared" si="1"/>
        <v>DEDUCT 3 YEAR AVERAGE PUMPING COST (SAME PERIOD)</v>
      </c>
    </row>
    <row r="106" spans="1:9">
      <c r="A106" s="213" t="s">
        <v>2681</v>
      </c>
      <c r="B106" s="211" t="s">
        <v>2680</v>
      </c>
      <c r="C106" s="211" t="s">
        <v>2675</v>
      </c>
      <c r="D106" s="212">
        <v>0</v>
      </c>
      <c r="E106" s="211"/>
      <c r="F106" s="211"/>
      <c r="G106" s="211"/>
      <c r="H106" s="210">
        <v>39553</v>
      </c>
      <c r="I106" s="197" t="str">
        <f t="shared" si="1"/>
        <v>PUMP OPERATORS (AVG. REGULAR TIME)</v>
      </c>
    </row>
    <row r="107" spans="1:9">
      <c r="A107" s="213" t="s">
        <v>2679</v>
      </c>
      <c r="B107" s="211" t="s">
        <v>2678</v>
      </c>
      <c r="C107" s="211" t="s">
        <v>2675</v>
      </c>
      <c r="D107" s="212">
        <v>0</v>
      </c>
      <c r="E107" s="211"/>
      <c r="F107" s="211"/>
      <c r="G107" s="211"/>
      <c r="H107" s="210">
        <v>39553</v>
      </c>
      <c r="I107" s="197" t="str">
        <f t="shared" si="1"/>
        <v>PUMP OPERATORS (AVG. OVERTIME)</v>
      </c>
    </row>
    <row r="108" spans="1:9">
      <c r="A108" s="213" t="s">
        <v>2677</v>
      </c>
      <c r="B108" s="211" t="s">
        <v>2676</v>
      </c>
      <c r="C108" s="211" t="s">
        <v>2675</v>
      </c>
      <c r="D108" s="212">
        <v>15</v>
      </c>
      <c r="E108" s="211"/>
      <c r="F108" s="211"/>
      <c r="G108" s="211"/>
      <c r="H108" s="210">
        <v>39462</v>
      </c>
      <c r="I108" s="197" t="str">
        <f t="shared" si="1"/>
        <v>TYING REBAR</v>
      </c>
    </row>
    <row r="109" spans="1:9" ht="14.4">
      <c r="A109" s="213" t="s">
        <v>2674</v>
      </c>
      <c r="B109" s="211" t="s">
        <v>2672</v>
      </c>
      <c r="C109" s="211" t="s">
        <v>2381</v>
      </c>
      <c r="D109" s="219">
        <v>7.5</v>
      </c>
      <c r="E109" s="211"/>
      <c r="F109" s="211"/>
      <c r="G109" s="211"/>
      <c r="H109" s="217">
        <v>40878</v>
      </c>
      <c r="I109" s="197" t="str">
        <f t="shared" si="1"/>
        <v>AGGREGATE SURFACE COURSE</v>
      </c>
    </row>
    <row r="110" spans="1:9" ht="14.4">
      <c r="A110" s="213" t="s">
        <v>2673</v>
      </c>
      <c r="B110" s="211" t="s">
        <v>2672</v>
      </c>
      <c r="C110" s="211" t="s">
        <v>1873</v>
      </c>
      <c r="D110" s="219">
        <v>14</v>
      </c>
      <c r="E110" s="211"/>
      <c r="F110" s="211"/>
      <c r="G110" s="211"/>
      <c r="H110" s="217">
        <v>40878</v>
      </c>
      <c r="I110" s="197" t="str">
        <f t="shared" si="1"/>
        <v>AGGREGATE SURFACE COURSE</v>
      </c>
    </row>
    <row r="111" spans="1:9">
      <c r="A111" s="213" t="s">
        <v>2671</v>
      </c>
      <c r="B111" s="211" t="s">
        <v>2670</v>
      </c>
      <c r="C111" s="211" t="s">
        <v>1873</v>
      </c>
      <c r="D111" s="212">
        <v>7.5</v>
      </c>
      <c r="E111" s="211"/>
      <c r="F111" s="211"/>
      <c r="G111" s="211"/>
      <c r="H111" s="210">
        <v>39553</v>
      </c>
      <c r="I111" s="197" t="str">
        <f t="shared" si="1"/>
        <v>AGGREGATE SURFACE COURSE (RED DOG)</v>
      </c>
    </row>
    <row r="112" spans="1:9" ht="14.4">
      <c r="A112" s="213" t="s">
        <v>2669</v>
      </c>
      <c r="B112" s="211" t="s">
        <v>2668</v>
      </c>
      <c r="C112" s="211" t="s">
        <v>2636</v>
      </c>
      <c r="D112" s="215">
        <v>0</v>
      </c>
      <c r="E112" s="211"/>
      <c r="F112" s="211"/>
      <c r="G112" s="211"/>
      <c r="H112" s="217">
        <v>40878</v>
      </c>
      <c r="I112" s="197" t="str">
        <f t="shared" si="1"/>
        <v>AGGREGATE SURFACE</v>
      </c>
    </row>
    <row r="113" spans="1:9" ht="14.4">
      <c r="A113" s="213" t="s">
        <v>2667</v>
      </c>
      <c r="B113" s="211" t="s">
        <v>2666</v>
      </c>
      <c r="C113" s="211" t="s">
        <v>1873</v>
      </c>
      <c r="D113" s="215">
        <v>20</v>
      </c>
      <c r="E113" s="211"/>
      <c r="F113" s="211"/>
      <c r="G113" s="211"/>
      <c r="H113" s="217">
        <v>39553</v>
      </c>
      <c r="I113" s="197" t="str">
        <f t="shared" si="1"/>
        <v>SHELL SURFACE COURSE (1650 LBS/CY)</v>
      </c>
    </row>
    <row r="114" spans="1:9" ht="14.4">
      <c r="A114" s="213" t="s">
        <v>2665</v>
      </c>
      <c r="B114" s="211" t="s">
        <v>2664</v>
      </c>
      <c r="C114" s="211" t="s">
        <v>2381</v>
      </c>
      <c r="D114" s="215">
        <v>16.5</v>
      </c>
      <c r="E114" s="211"/>
      <c r="F114" s="211"/>
      <c r="G114" s="211"/>
      <c r="H114" s="217">
        <v>39553</v>
      </c>
      <c r="I114" s="197" t="str">
        <f t="shared" si="1"/>
        <v>SHELL SURFACE (7.75/TON)</v>
      </c>
    </row>
    <row r="115" spans="1:9" ht="26.4">
      <c r="A115" s="216">
        <v>3016</v>
      </c>
      <c r="B115" s="214" t="s">
        <v>2663</v>
      </c>
      <c r="C115" s="214" t="s">
        <v>1873</v>
      </c>
      <c r="D115" s="215">
        <v>15</v>
      </c>
      <c r="E115" s="214"/>
      <c r="F115" s="214"/>
      <c r="G115" s="214"/>
      <c r="H115" s="217">
        <v>39462</v>
      </c>
      <c r="I115" s="197" t="str">
        <f t="shared" si="1"/>
        <v>AGGREGATE SURFACE (SAME AS 3012 EXCEPT IN CY)</v>
      </c>
    </row>
    <row r="116" spans="1:9" ht="14.4">
      <c r="A116" s="213" t="s">
        <v>2662</v>
      </c>
      <c r="B116" s="211" t="s">
        <v>2661</v>
      </c>
      <c r="C116" s="211" t="s">
        <v>1873</v>
      </c>
      <c r="D116" s="219">
        <v>7</v>
      </c>
      <c r="E116" s="211"/>
      <c r="F116" s="211"/>
      <c r="G116" s="211"/>
      <c r="H116" s="217">
        <v>40878</v>
      </c>
      <c r="I116" s="197" t="str">
        <f t="shared" si="1"/>
        <v>FILL (UNCLASSIFIED)</v>
      </c>
    </row>
    <row r="117" spans="1:9" ht="26.4">
      <c r="A117" s="213" t="s">
        <v>2660</v>
      </c>
      <c r="B117" s="211" t="s">
        <v>2659</v>
      </c>
      <c r="C117" s="211" t="s">
        <v>1806</v>
      </c>
      <c r="D117" s="219">
        <v>0.18</v>
      </c>
      <c r="E117" s="211"/>
      <c r="F117" s="211"/>
      <c r="G117" s="211"/>
      <c r="H117" s="217">
        <v>40878</v>
      </c>
      <c r="I117" s="197" t="str">
        <f t="shared" si="1"/>
        <v>HAUL, ADDITIONAL YARD MILE, PURCHASED-DELIVERED</v>
      </c>
    </row>
    <row r="118" spans="1:9" ht="26.4">
      <c r="A118" s="213" t="s">
        <v>2658</v>
      </c>
      <c r="B118" s="211" t="s">
        <v>2657</v>
      </c>
      <c r="C118" s="211" t="s">
        <v>1806</v>
      </c>
      <c r="D118" s="219">
        <v>0.13</v>
      </c>
      <c r="E118" s="211"/>
      <c r="F118" s="211"/>
      <c r="G118" s="211"/>
      <c r="H118" s="217">
        <v>40878</v>
      </c>
      <c r="I118" s="197" t="str">
        <f t="shared" si="1"/>
        <v>HAUL, ADDITIONAL TON MILE, PURCHASED-DELIVERED</v>
      </c>
    </row>
    <row r="119" spans="1:9" ht="14.4">
      <c r="A119" s="213" t="s">
        <v>2656</v>
      </c>
      <c r="B119" s="211" t="s">
        <v>2655</v>
      </c>
      <c r="C119" s="211" t="s">
        <v>1885</v>
      </c>
      <c r="D119" s="219">
        <v>1.75</v>
      </c>
      <c r="E119" s="211"/>
      <c r="F119" s="211"/>
      <c r="G119" s="211"/>
      <c r="H119" s="217">
        <v>40878</v>
      </c>
      <c r="I119" s="197" t="str">
        <f t="shared" si="1"/>
        <v>LIME STABILIZATION (6 INCH DEPTH)</v>
      </c>
    </row>
    <row r="120" spans="1:9" ht="14.4">
      <c r="A120" s="213" t="s">
        <v>2654</v>
      </c>
      <c r="B120" s="211" t="s">
        <v>2653</v>
      </c>
      <c r="C120" s="211" t="s">
        <v>1873</v>
      </c>
      <c r="D120" s="212">
        <v>1.8</v>
      </c>
      <c r="E120" s="211"/>
      <c r="F120" s="211"/>
      <c r="G120" s="211"/>
      <c r="H120" s="217">
        <v>39553</v>
      </c>
      <c r="I120" s="197" t="str">
        <f t="shared" si="1"/>
        <v>LOCAL BORROW (MATERIAL ONLY)</v>
      </c>
    </row>
    <row r="121" spans="1:9" ht="14.4">
      <c r="A121" s="213" t="s">
        <v>2652</v>
      </c>
      <c r="B121" s="211" t="s">
        <v>2651</v>
      </c>
      <c r="C121" s="211" t="s">
        <v>1873</v>
      </c>
      <c r="D121" s="212">
        <v>12</v>
      </c>
      <c r="E121" s="211"/>
      <c r="F121" s="211"/>
      <c r="G121" s="211"/>
      <c r="H121" s="217">
        <v>39553</v>
      </c>
      <c r="I121" s="197" t="str">
        <f t="shared" si="1"/>
        <v>BACKFILL (GRANULAR)</v>
      </c>
    </row>
    <row r="122" spans="1:9" ht="26.4">
      <c r="A122" s="213" t="s">
        <v>2650</v>
      </c>
      <c r="B122" s="211" t="s">
        <v>2649</v>
      </c>
      <c r="C122" s="211" t="s">
        <v>1873</v>
      </c>
      <c r="D122" s="212">
        <v>7.5</v>
      </c>
      <c r="E122" s="211"/>
      <c r="F122" s="211"/>
      <c r="G122" s="211"/>
      <c r="H122" s="217">
        <v>39553</v>
      </c>
      <c r="I122" s="197" t="str">
        <f t="shared" si="1"/>
        <v>EXCAVATION &amp; BACKFILL (SMALL UNCLASSIFIED)</v>
      </c>
    </row>
    <row r="123" spans="1:9" ht="14.4">
      <c r="A123" s="213" t="s">
        <v>2648</v>
      </c>
      <c r="B123" s="211" t="s">
        <v>2647</v>
      </c>
      <c r="C123" s="211" t="s">
        <v>1873</v>
      </c>
      <c r="D123" s="215">
        <v>6</v>
      </c>
      <c r="E123" s="211"/>
      <c r="F123" s="211"/>
      <c r="G123" s="211"/>
      <c r="H123" s="217">
        <v>40878</v>
      </c>
      <c r="I123" s="197" t="str">
        <f t="shared" si="1"/>
        <v>ROCKFILL (ALT TO UNCLASSIFIED FILL)</v>
      </c>
    </row>
    <row r="124" spans="1:9">
      <c r="A124" s="213" t="s">
        <v>2646</v>
      </c>
      <c r="B124" s="211" t="s">
        <v>2645</v>
      </c>
      <c r="C124" s="211" t="s">
        <v>1885</v>
      </c>
      <c r="D124" s="212">
        <v>0.6</v>
      </c>
      <c r="E124" s="211"/>
      <c r="F124" s="211"/>
      <c r="G124" s="211"/>
      <c r="H124" s="210">
        <v>39553</v>
      </c>
      <c r="I124" s="197" t="str">
        <f t="shared" si="1"/>
        <v>GRADING (SUBGRADE SHAPING)</v>
      </c>
    </row>
    <row r="125" spans="1:9">
      <c r="A125" s="213" t="s">
        <v>2644</v>
      </c>
      <c r="B125" s="211" t="s">
        <v>2643</v>
      </c>
      <c r="C125" s="211" t="s">
        <v>1885</v>
      </c>
      <c r="D125" s="212">
        <v>0.7</v>
      </c>
      <c r="E125" s="211"/>
      <c r="F125" s="211"/>
      <c r="G125" s="211"/>
      <c r="H125" s="210">
        <v>39553</v>
      </c>
      <c r="I125" s="197" t="str">
        <f t="shared" si="1"/>
        <v>SCARIFYING</v>
      </c>
    </row>
    <row r="126" spans="1:9">
      <c r="A126" s="213" t="s">
        <v>2642</v>
      </c>
      <c r="B126" s="211" t="s">
        <v>2641</v>
      </c>
      <c r="C126" s="211" t="s">
        <v>1885</v>
      </c>
      <c r="D126" s="212">
        <v>2.5</v>
      </c>
      <c r="E126" s="211"/>
      <c r="F126" s="211"/>
      <c r="G126" s="211"/>
      <c r="H126" s="210">
        <v>39462</v>
      </c>
      <c r="I126" s="197" t="str">
        <f t="shared" si="1"/>
        <v>SCARIFY, RESHAPE AND COMPACT</v>
      </c>
    </row>
    <row r="127" spans="1:9">
      <c r="A127" s="213" t="s">
        <v>2640</v>
      </c>
      <c r="B127" s="211" t="s">
        <v>2639</v>
      </c>
      <c r="C127" s="211" t="s">
        <v>1834</v>
      </c>
      <c r="D127" s="212">
        <v>3.4</v>
      </c>
      <c r="E127" s="211"/>
      <c r="F127" s="211"/>
      <c r="G127" s="211"/>
      <c r="H127" s="210">
        <v>39553</v>
      </c>
      <c r="I127" s="197" t="str">
        <f t="shared" si="1"/>
        <v>DITCH CLEANING &amp; SHAPING</v>
      </c>
    </row>
    <row r="128" spans="1:9" ht="14.4">
      <c r="A128" s="213" t="s">
        <v>2638</v>
      </c>
      <c r="B128" s="211" t="s">
        <v>2637</v>
      </c>
      <c r="C128" s="211" t="s">
        <v>2636</v>
      </c>
      <c r="D128" s="215">
        <v>0</v>
      </c>
      <c r="E128" s="211"/>
      <c r="F128" s="211"/>
      <c r="G128" s="211"/>
      <c r="H128" s="217">
        <v>40878</v>
      </c>
      <c r="I128" s="197" t="str">
        <f t="shared" si="1"/>
        <v>DITCH GRADING /PULLING (BOTH SIDES)</v>
      </c>
    </row>
    <row r="129" spans="1:9" ht="14.4">
      <c r="A129" s="213" t="s">
        <v>2635</v>
      </c>
      <c r="B129" s="211" t="s">
        <v>2634</v>
      </c>
      <c r="C129" s="211" t="s">
        <v>1885</v>
      </c>
      <c r="D129" s="212">
        <v>0.1</v>
      </c>
      <c r="E129" s="211"/>
      <c r="F129" s="211"/>
      <c r="G129" s="211"/>
      <c r="H129" s="217">
        <v>39462</v>
      </c>
      <c r="I129" s="197" t="str">
        <f t="shared" si="1"/>
        <v>GRADING/SHAPING UNPAVED ROADS</v>
      </c>
    </row>
    <row r="130" spans="1:9" ht="14.4">
      <c r="A130" s="213" t="s">
        <v>2633</v>
      </c>
      <c r="B130" s="211" t="s">
        <v>2632</v>
      </c>
      <c r="C130" s="211" t="s">
        <v>1885</v>
      </c>
      <c r="D130" s="219">
        <v>1.55</v>
      </c>
      <c r="E130" s="211"/>
      <c r="F130" s="211"/>
      <c r="G130" s="211"/>
      <c r="H130" s="217">
        <v>40878</v>
      </c>
      <c r="I130" s="197" t="str">
        <f t="shared" si="1"/>
        <v>CHIP AND SEAL (SINGLE)</v>
      </c>
    </row>
    <row r="131" spans="1:9" ht="14.4">
      <c r="A131" s="213" t="s">
        <v>2631</v>
      </c>
      <c r="B131" s="211" t="s">
        <v>2630</v>
      </c>
      <c r="C131" s="211" t="s">
        <v>1885</v>
      </c>
      <c r="D131" s="219">
        <v>2.79</v>
      </c>
      <c r="E131" s="211"/>
      <c r="F131" s="211"/>
      <c r="G131" s="211"/>
      <c r="H131" s="217">
        <v>40878</v>
      </c>
      <c r="I131" s="197" t="str">
        <f t="shared" si="1"/>
        <v>CHIP AND SEAL (DOUBLE)</v>
      </c>
    </row>
    <row r="132" spans="1:9" ht="14.4">
      <c r="A132" s="213" t="s">
        <v>2629</v>
      </c>
      <c r="B132" s="211" t="s">
        <v>2628</v>
      </c>
      <c r="C132" s="211" t="s">
        <v>1885</v>
      </c>
      <c r="D132" s="219">
        <v>4.03</v>
      </c>
      <c r="E132" s="211"/>
      <c r="F132" s="211"/>
      <c r="G132" s="211"/>
      <c r="H132" s="217">
        <v>40878</v>
      </c>
      <c r="I132" s="197" t="str">
        <f t="shared" ref="I132:I195" si="2">IF(B132="","",B132)</f>
        <v>CHIP AND SEAL (TRIPLE)</v>
      </c>
    </row>
    <row r="133" spans="1:9" ht="14.4">
      <c r="A133" s="213" t="s">
        <v>2627</v>
      </c>
      <c r="B133" s="211" t="s">
        <v>2626</v>
      </c>
      <c r="C133" s="211" t="s">
        <v>2610</v>
      </c>
      <c r="D133" s="212">
        <v>0.17</v>
      </c>
      <c r="E133" s="211"/>
      <c r="F133" s="211"/>
      <c r="G133" s="211"/>
      <c r="H133" s="217">
        <v>39462</v>
      </c>
      <c r="I133" s="197" t="str">
        <f t="shared" si="2"/>
        <v>REPROCESSED ASPHALT PAVEMENT (RAP)</v>
      </c>
    </row>
    <row r="134" spans="1:9" ht="26.4">
      <c r="A134" s="213" t="s">
        <v>2625</v>
      </c>
      <c r="B134" s="211" t="s">
        <v>2624</v>
      </c>
      <c r="C134" s="211" t="s">
        <v>2381</v>
      </c>
      <c r="D134" s="212">
        <v>9.75</v>
      </c>
      <c r="E134" s="211"/>
      <c r="F134" s="211"/>
      <c r="G134" s="211"/>
      <c r="H134" s="217">
        <v>39468</v>
      </c>
      <c r="I134" s="197" t="str">
        <f t="shared" si="2"/>
        <v>AGGREGATE BASE COURSE (FLEX. BASE) (CRUSHED)</v>
      </c>
    </row>
    <row r="135" spans="1:9" ht="26.4">
      <c r="A135" s="213" t="s">
        <v>2623</v>
      </c>
      <c r="B135" s="211" t="s">
        <v>2622</v>
      </c>
      <c r="C135" s="211" t="s">
        <v>1873</v>
      </c>
      <c r="D135" s="212">
        <v>14</v>
      </c>
      <c r="E135" s="211"/>
      <c r="F135" s="211"/>
      <c r="G135" s="211"/>
      <c r="H135" s="217">
        <v>39462</v>
      </c>
      <c r="I135" s="197" t="str">
        <f t="shared" si="2"/>
        <v>AGGREGATE BASE COURSE (FLEX. BASE),(CRUSHED)</v>
      </c>
    </row>
    <row r="136" spans="1:9" ht="26.4">
      <c r="A136" s="213" t="s">
        <v>2621</v>
      </c>
      <c r="B136" s="211" t="s">
        <v>2619</v>
      </c>
      <c r="C136" s="211" t="s">
        <v>2381</v>
      </c>
      <c r="D136" s="219">
        <v>10.75</v>
      </c>
      <c r="E136" s="211"/>
      <c r="F136" s="211"/>
      <c r="G136" s="211"/>
      <c r="H136" s="217">
        <v>40878</v>
      </c>
      <c r="I136" s="197" t="str">
        <f t="shared" si="2"/>
        <v>AGGREGATE BASE COURSE (UNDER BITUMINOUS SURFACE)</v>
      </c>
    </row>
    <row r="137" spans="1:9" ht="26.4">
      <c r="A137" s="213" t="s">
        <v>2620</v>
      </c>
      <c r="B137" s="211" t="s">
        <v>2619</v>
      </c>
      <c r="C137" s="211" t="s">
        <v>1873</v>
      </c>
      <c r="D137" s="219">
        <v>20.75</v>
      </c>
      <c r="E137" s="211"/>
      <c r="F137" s="211"/>
      <c r="G137" s="211"/>
      <c r="H137" s="217">
        <v>40878</v>
      </c>
      <c r="I137" s="197" t="str">
        <f t="shared" si="2"/>
        <v>AGGREGATE BASE COURSE (UNDER BITUMINOUS SURFACE)</v>
      </c>
    </row>
    <row r="138" spans="1:9">
      <c r="A138" s="213" t="s">
        <v>2618</v>
      </c>
      <c r="B138" s="211" t="s">
        <v>2617</v>
      </c>
      <c r="C138" s="211" t="s">
        <v>1873</v>
      </c>
      <c r="D138" s="212">
        <v>7.5</v>
      </c>
      <c r="E138" s="211"/>
      <c r="F138" s="211"/>
      <c r="G138" s="211"/>
      <c r="H138" s="210">
        <v>39462</v>
      </c>
      <c r="I138" s="197" t="str">
        <f t="shared" si="2"/>
        <v>GRANULAR MATERIAL (CLAY GRAVEL)</v>
      </c>
    </row>
    <row r="139" spans="1:9">
      <c r="A139" s="213" t="s">
        <v>2616</v>
      </c>
      <c r="B139" s="211" t="s">
        <v>2615</v>
      </c>
      <c r="C139" s="211" t="s">
        <v>2610</v>
      </c>
      <c r="D139" s="212">
        <v>5.3</v>
      </c>
      <c r="E139" s="211"/>
      <c r="F139" s="211"/>
      <c r="G139" s="211"/>
      <c r="H139" s="210">
        <v>39553</v>
      </c>
      <c r="I139" s="197" t="str">
        <f t="shared" si="2"/>
        <v xml:space="preserve">BITUMINOUS COLD PATCH </v>
      </c>
    </row>
    <row r="140" spans="1:9" ht="26.4">
      <c r="A140" s="213" t="s">
        <v>2614</v>
      </c>
      <c r="B140" s="211" t="s">
        <v>2613</v>
      </c>
      <c r="C140" s="211" t="s">
        <v>2381</v>
      </c>
      <c r="D140" s="212">
        <v>30</v>
      </c>
      <c r="E140" s="211"/>
      <c r="F140" s="211"/>
      <c r="G140" s="211"/>
      <c r="H140" s="210">
        <v>39553</v>
      </c>
      <c r="I140" s="197" t="str">
        <f t="shared" si="2"/>
        <v>BITUMINOUS COLD PATCH (MATERIAL ONLY)</v>
      </c>
    </row>
    <row r="141" spans="1:9">
      <c r="A141" s="213" t="s">
        <v>2612</v>
      </c>
      <c r="B141" s="211" t="s">
        <v>2611</v>
      </c>
      <c r="C141" s="211" t="s">
        <v>2610</v>
      </c>
      <c r="D141" s="212">
        <v>2</v>
      </c>
      <c r="E141" s="211"/>
      <c r="F141" s="211"/>
      <c r="G141" s="211"/>
      <c r="H141" s="210">
        <v>39553</v>
      </c>
      <c r="I141" s="197" t="str">
        <f t="shared" si="2"/>
        <v>BITUMINOUS CONCRETE OVERLAY</v>
      </c>
    </row>
    <row r="142" spans="1:9" ht="26.4">
      <c r="A142" s="213" t="s">
        <v>2609</v>
      </c>
      <c r="B142" s="211" t="s">
        <v>2608</v>
      </c>
      <c r="C142" s="211" t="s">
        <v>1938</v>
      </c>
      <c r="D142" s="212">
        <v>40</v>
      </c>
      <c r="E142" s="211"/>
      <c r="F142" s="211"/>
      <c r="G142" s="211"/>
      <c r="H142" s="210">
        <v>39462</v>
      </c>
      <c r="I142" s="197" t="str">
        <f t="shared" si="2"/>
        <v>ASPHALT CONCRETE PAVEMENT (BLADED ON)</v>
      </c>
    </row>
    <row r="143" spans="1:9">
      <c r="A143" s="213" t="s">
        <v>2607</v>
      </c>
      <c r="B143" s="211" t="s">
        <v>2606</v>
      </c>
      <c r="C143" s="211" t="s">
        <v>1938</v>
      </c>
      <c r="D143" s="212">
        <v>25</v>
      </c>
      <c r="E143" s="211"/>
      <c r="F143" s="211"/>
      <c r="G143" s="211"/>
      <c r="H143" s="210">
        <v>39462</v>
      </c>
      <c r="I143" s="197" t="str">
        <f t="shared" si="2"/>
        <v>OIL STAB. BASE (100 LBS/SY/IN)</v>
      </c>
    </row>
    <row r="144" spans="1:9" ht="26.4">
      <c r="A144" s="213" t="s">
        <v>2605</v>
      </c>
      <c r="B144" s="211" t="s">
        <v>2604</v>
      </c>
      <c r="C144" s="211" t="s">
        <v>2381</v>
      </c>
      <c r="D144" s="212">
        <v>28</v>
      </c>
      <c r="E144" s="211"/>
      <c r="F144" s="211"/>
      <c r="G144" s="211"/>
      <c r="H144" s="210">
        <v>39553</v>
      </c>
      <c r="I144" s="197" t="str">
        <f t="shared" si="2"/>
        <v>BITUMINOUS CONCRETE BINDER CASE (MATERIAL ONLY)</v>
      </c>
    </row>
    <row r="145" spans="1:9" ht="26.4">
      <c r="A145" s="213" t="s">
        <v>2603</v>
      </c>
      <c r="B145" s="211" t="s">
        <v>2602</v>
      </c>
      <c r="C145" s="211" t="s">
        <v>2381</v>
      </c>
      <c r="D145" s="212">
        <v>70</v>
      </c>
      <c r="E145" s="211"/>
      <c r="F145" s="211"/>
      <c r="G145" s="211"/>
      <c r="H145" s="210">
        <v>39468</v>
      </c>
      <c r="I145" s="197" t="str">
        <f t="shared" si="2"/>
        <v>BITUMINOUS CONCRETE BINDER COURSE (IN PLACE)</v>
      </c>
    </row>
    <row r="146" spans="1:9" ht="26.4">
      <c r="A146" s="213" t="s">
        <v>2601</v>
      </c>
      <c r="B146" s="211" t="s">
        <v>2600</v>
      </c>
      <c r="C146" s="211" t="s">
        <v>2381</v>
      </c>
      <c r="D146" s="212">
        <v>30</v>
      </c>
      <c r="E146" s="211"/>
      <c r="F146" s="211"/>
      <c r="G146" s="211"/>
      <c r="H146" s="210">
        <v>39553</v>
      </c>
      <c r="I146" s="197" t="str">
        <f t="shared" si="2"/>
        <v>BITUMINOUS CONCRETE SURFACE CASE (MATERIAL ONLY)</v>
      </c>
    </row>
    <row r="147" spans="1:9" ht="26.4">
      <c r="A147" s="213" t="s">
        <v>2599</v>
      </c>
      <c r="B147" s="211" t="s">
        <v>2598</v>
      </c>
      <c r="C147" s="211" t="s">
        <v>2381</v>
      </c>
      <c r="D147" s="212">
        <v>80</v>
      </c>
      <c r="E147" s="211"/>
      <c r="F147" s="211"/>
      <c r="G147" s="211"/>
      <c r="H147" s="210">
        <v>39468</v>
      </c>
      <c r="I147" s="197" t="str">
        <f t="shared" si="2"/>
        <v>BITUMINOUS CONCRETE SURFACE COURSE (IN PLACE)</v>
      </c>
    </row>
    <row r="148" spans="1:9" ht="14.4">
      <c r="A148" s="213" t="s">
        <v>2597</v>
      </c>
      <c r="B148" s="211" t="s">
        <v>2596</v>
      </c>
      <c r="C148" s="211" t="s">
        <v>1885</v>
      </c>
      <c r="D148" s="215">
        <v>6.5</v>
      </c>
      <c r="E148" s="211"/>
      <c r="F148" s="211"/>
      <c r="G148" s="211"/>
      <c r="H148" s="217">
        <v>40878</v>
      </c>
      <c r="I148" s="197" t="str">
        <f t="shared" si="2"/>
        <v>PAVEMENT REMOVAL</v>
      </c>
    </row>
    <row r="149" spans="1:9" ht="14.4">
      <c r="A149" s="213" t="s">
        <v>2595</v>
      </c>
      <c r="B149" s="211" t="s">
        <v>2594</v>
      </c>
      <c r="C149" s="211" t="s">
        <v>1885</v>
      </c>
      <c r="D149" s="215">
        <v>6.5</v>
      </c>
      <c r="E149" s="211"/>
      <c r="F149" s="211"/>
      <c r="G149" s="211"/>
      <c r="H149" s="217">
        <v>39462</v>
      </c>
      <c r="I149" s="197" t="str">
        <f t="shared" si="2"/>
        <v>PAVEMENT REMOVAL ( ASPHALT)</v>
      </c>
    </row>
    <row r="150" spans="1:9" ht="14.4">
      <c r="A150" s="213" t="s">
        <v>2593</v>
      </c>
      <c r="B150" s="211" t="s">
        <v>2592</v>
      </c>
      <c r="C150" s="211" t="s">
        <v>1885</v>
      </c>
      <c r="D150" s="215">
        <v>12</v>
      </c>
      <c r="E150" s="211"/>
      <c r="F150" s="211"/>
      <c r="G150" s="211"/>
      <c r="H150" s="217">
        <v>40878</v>
      </c>
      <c r="I150" s="197" t="str">
        <f t="shared" si="2"/>
        <v>PAVEMENT REMOVAL (CONCRETE)</v>
      </c>
    </row>
    <row r="151" spans="1:9" ht="14.4">
      <c r="A151" s="213" t="s">
        <v>2591</v>
      </c>
      <c r="B151" s="211" t="s">
        <v>2590</v>
      </c>
      <c r="C151" s="211" t="s">
        <v>1876</v>
      </c>
      <c r="D151" s="212">
        <v>3</v>
      </c>
      <c r="E151" s="211"/>
      <c r="F151" s="211"/>
      <c r="G151" s="211"/>
      <c r="H151" s="217">
        <v>39553</v>
      </c>
      <c r="I151" s="197" t="str">
        <f t="shared" si="2"/>
        <v>CONCRETE SIDEWALK (4")</v>
      </c>
    </row>
    <row r="152" spans="1:9" ht="14.4">
      <c r="A152" s="213" t="s">
        <v>2589</v>
      </c>
      <c r="B152" s="211" t="s">
        <v>2588</v>
      </c>
      <c r="C152" s="211" t="s">
        <v>1876</v>
      </c>
      <c r="D152" s="219">
        <v>5.87</v>
      </c>
      <c r="E152" s="211"/>
      <c r="F152" s="211"/>
      <c r="G152" s="211"/>
      <c r="H152" s="217">
        <v>40878</v>
      </c>
      <c r="I152" s="197" t="str">
        <f t="shared" si="2"/>
        <v>CONCRETE SIDEWALK REMOVAL</v>
      </c>
    </row>
    <row r="153" spans="1:9" ht="14.4">
      <c r="A153" s="213" t="s">
        <v>2587</v>
      </c>
      <c r="B153" s="211" t="s">
        <v>2586</v>
      </c>
      <c r="C153" s="211" t="s">
        <v>1834</v>
      </c>
      <c r="D153" s="219">
        <v>16</v>
      </c>
      <c r="E153" s="211"/>
      <c r="F153" s="211"/>
      <c r="G153" s="211"/>
      <c r="H153" s="217">
        <v>40878</v>
      </c>
      <c r="I153" s="197" t="str">
        <f t="shared" si="2"/>
        <v>CONCRETE CURB AND GUTTER</v>
      </c>
    </row>
    <row r="154" spans="1:9" ht="14.4">
      <c r="A154" s="213" t="s">
        <v>2585</v>
      </c>
      <c r="B154" s="211" t="s">
        <v>2584</v>
      </c>
      <c r="C154" s="211" t="s">
        <v>1834</v>
      </c>
      <c r="D154" s="219">
        <v>3.39</v>
      </c>
      <c r="E154" s="211"/>
      <c r="F154" s="211"/>
      <c r="G154" s="211"/>
      <c r="H154" s="217">
        <v>40878</v>
      </c>
      <c r="I154" s="197" t="str">
        <f t="shared" si="2"/>
        <v>CONCRETE CURB AND GUTTER REMOVAL</v>
      </c>
    </row>
    <row r="155" spans="1:9" ht="26.4">
      <c r="A155" s="213" t="s">
        <v>2583</v>
      </c>
      <c r="B155" s="211" t="s">
        <v>2582</v>
      </c>
      <c r="C155" s="211" t="s">
        <v>1873</v>
      </c>
      <c r="D155" s="212">
        <v>150</v>
      </c>
      <c r="E155" s="211"/>
      <c r="F155" s="211"/>
      <c r="G155" s="211"/>
      <c r="H155" s="210">
        <v>39553</v>
      </c>
      <c r="I155" s="197" t="str">
        <f t="shared" si="2"/>
        <v>CONCRETE PAVEMENT (MESH REINFORCEMENT)</v>
      </c>
    </row>
    <row r="156" spans="1:9">
      <c r="A156" s="213" t="s">
        <v>2581</v>
      </c>
      <c r="B156" s="211" t="s">
        <v>2580</v>
      </c>
      <c r="C156" s="211" t="s">
        <v>1873</v>
      </c>
      <c r="D156" s="212">
        <v>350</v>
      </c>
      <c r="E156" s="211"/>
      <c r="F156" s="211"/>
      <c r="G156" s="211"/>
      <c r="H156" s="210">
        <v>39553</v>
      </c>
      <c r="I156" s="197" t="str">
        <f t="shared" si="2"/>
        <v>CONCRETE  CLASS X (INPLACE FORMED)</v>
      </c>
    </row>
    <row r="157" spans="1:9">
      <c r="A157" s="213" t="s">
        <v>2579</v>
      </c>
      <c r="B157" s="211" t="s">
        <v>2578</v>
      </c>
      <c r="C157" s="211" t="s">
        <v>1873</v>
      </c>
      <c r="D157" s="212">
        <v>540</v>
      </c>
      <c r="E157" s="211"/>
      <c r="F157" s="211"/>
      <c r="G157" s="211"/>
      <c r="H157" s="210">
        <v>39553</v>
      </c>
      <c r="I157" s="197" t="str">
        <f t="shared" si="2"/>
        <v>CONCRETE  CLASS A (STRUCTURAL)</v>
      </c>
    </row>
    <row r="158" spans="1:9">
      <c r="A158" s="213" t="s">
        <v>2577</v>
      </c>
      <c r="B158" s="211" t="s">
        <v>2576</v>
      </c>
      <c r="C158" s="211" t="s">
        <v>1876</v>
      </c>
      <c r="D158" s="212">
        <v>12</v>
      </c>
      <c r="E158" s="211"/>
      <c r="F158" s="211"/>
      <c r="G158" s="211"/>
      <c r="H158" s="210">
        <v>39553</v>
      </c>
      <c r="I158" s="197" t="str">
        <f t="shared" si="2"/>
        <v>CONCRETE RETAINING WALLS (12")</v>
      </c>
    </row>
    <row r="159" spans="1:9">
      <c r="A159" s="213" t="s">
        <v>2575</v>
      </c>
      <c r="B159" s="211" t="s">
        <v>2574</v>
      </c>
      <c r="C159" s="211" t="s">
        <v>1876</v>
      </c>
      <c r="D159" s="212">
        <v>35</v>
      </c>
      <c r="E159" s="211"/>
      <c r="F159" s="211"/>
      <c r="G159" s="211"/>
      <c r="H159" s="210">
        <v>39553</v>
      </c>
      <c r="I159" s="197" t="str">
        <f t="shared" si="2"/>
        <v>CONCRETE BOX CULVERTS</v>
      </c>
    </row>
    <row r="160" spans="1:9" ht="26.4">
      <c r="A160" s="213" t="s">
        <v>2573</v>
      </c>
      <c r="B160" s="211" t="s">
        <v>2572</v>
      </c>
      <c r="C160" s="211" t="s">
        <v>1876</v>
      </c>
      <c r="D160" s="212">
        <v>38</v>
      </c>
      <c r="E160" s="211"/>
      <c r="F160" s="211"/>
      <c r="G160" s="211"/>
      <c r="H160" s="210">
        <v>39553</v>
      </c>
      <c r="I160" s="197" t="str">
        <f t="shared" si="2"/>
        <v>CONCRETE SLAB BRIDGE (INTEGRAL ABUTMENT)</v>
      </c>
    </row>
    <row r="161" spans="1:9" ht="26.4">
      <c r="A161" s="213" t="s">
        <v>2571</v>
      </c>
      <c r="B161" s="211" t="s">
        <v>2570</v>
      </c>
      <c r="C161" s="211" t="s">
        <v>1876</v>
      </c>
      <c r="D161" s="212">
        <v>60</v>
      </c>
      <c r="E161" s="211"/>
      <c r="F161" s="211"/>
      <c r="G161" s="211"/>
      <c r="H161" s="210">
        <v>39553</v>
      </c>
      <c r="I161" s="197" t="str">
        <f t="shared" si="2"/>
        <v>CONCRETE SLAB BRIDGE (VERTICAL ABUTMENT)</v>
      </c>
    </row>
    <row r="162" spans="1:9" ht="26.4">
      <c r="A162" s="213" t="s">
        <v>2569</v>
      </c>
      <c r="B162" s="211" t="s">
        <v>2568</v>
      </c>
      <c r="C162" s="211" t="s">
        <v>1876</v>
      </c>
      <c r="D162" s="212">
        <v>50</v>
      </c>
      <c r="E162" s="211"/>
      <c r="F162" s="211"/>
      <c r="G162" s="211"/>
      <c r="H162" s="210">
        <v>39553</v>
      </c>
      <c r="I162" s="197" t="str">
        <f t="shared" si="2"/>
        <v>BRIDGE  CONCRETE PRECAST (CHANNEL UNDER 40')</v>
      </c>
    </row>
    <row r="163" spans="1:9" ht="26.4">
      <c r="A163" s="213" t="s">
        <v>2567</v>
      </c>
      <c r="B163" s="211" t="s">
        <v>2566</v>
      </c>
      <c r="C163" s="211" t="s">
        <v>1876</v>
      </c>
      <c r="D163" s="212">
        <v>45</v>
      </c>
      <c r="E163" s="211"/>
      <c r="F163" s="211"/>
      <c r="G163" s="211"/>
      <c r="H163" s="210">
        <v>39553</v>
      </c>
      <c r="I163" s="197" t="str">
        <f t="shared" si="2"/>
        <v>BRIDGE  CONCRETE PRECAST (CHANNEL OVER 40')</v>
      </c>
    </row>
    <row r="164" spans="1:9">
      <c r="A164" s="213" t="s">
        <v>2565</v>
      </c>
      <c r="B164" s="211" t="s">
        <v>2564</v>
      </c>
      <c r="C164" s="211" t="s">
        <v>1876</v>
      </c>
      <c r="D164" s="212">
        <v>35</v>
      </c>
      <c r="E164" s="211"/>
      <c r="F164" s="211"/>
      <c r="G164" s="211"/>
      <c r="H164" s="210">
        <v>39553</v>
      </c>
      <c r="I164" s="197" t="str">
        <f t="shared" si="2"/>
        <v>BRIDGE  BEAM (WITH EXISTING ABUTMENT)</v>
      </c>
    </row>
    <row r="165" spans="1:9">
      <c r="A165" s="213" t="s">
        <v>2563</v>
      </c>
      <c r="B165" s="211" t="s">
        <v>2562</v>
      </c>
      <c r="C165" s="211" t="s">
        <v>1873</v>
      </c>
      <c r="D165" s="212">
        <v>35</v>
      </c>
      <c r="E165" s="211"/>
      <c r="F165" s="211"/>
      <c r="G165" s="211"/>
      <c r="H165" s="210">
        <v>39553</v>
      </c>
      <c r="I165" s="197" t="str">
        <f t="shared" si="2"/>
        <v>SLOPE PROTECTION  RIP RAP</v>
      </c>
    </row>
    <row r="166" spans="1:9">
      <c r="A166" s="213" t="s">
        <v>2561</v>
      </c>
      <c r="B166" s="211" t="s">
        <v>2560</v>
      </c>
      <c r="C166" s="211" t="s">
        <v>1873</v>
      </c>
      <c r="D166" s="212">
        <v>16</v>
      </c>
      <c r="E166" s="211"/>
      <c r="F166" s="211"/>
      <c r="G166" s="211"/>
      <c r="H166" s="210">
        <v>39553</v>
      </c>
      <c r="I166" s="197" t="str">
        <f t="shared" si="2"/>
        <v>SLOPE PROTECTION  RIP RAP (DUMPED)</v>
      </c>
    </row>
    <row r="167" spans="1:9">
      <c r="A167" s="213" t="s">
        <v>2559</v>
      </c>
      <c r="B167" s="211" t="s">
        <v>2558</v>
      </c>
      <c r="C167" s="211" t="s">
        <v>1885</v>
      </c>
      <c r="D167" s="212">
        <v>48</v>
      </c>
      <c r="E167" s="211"/>
      <c r="F167" s="211"/>
      <c r="G167" s="211"/>
      <c r="H167" s="210">
        <v>39553</v>
      </c>
      <c r="I167" s="197" t="str">
        <f t="shared" si="2"/>
        <v>RIP RAP  BAGGED</v>
      </c>
    </row>
    <row r="168" spans="1:9">
      <c r="A168" s="213" t="s">
        <v>2557</v>
      </c>
      <c r="B168" s="211" t="s">
        <v>2556</v>
      </c>
      <c r="C168" s="211" t="s">
        <v>1885</v>
      </c>
      <c r="D168" s="212">
        <v>20</v>
      </c>
      <c r="E168" s="211"/>
      <c r="F168" s="211"/>
      <c r="G168" s="211"/>
      <c r="H168" s="210">
        <v>39553</v>
      </c>
      <c r="I168" s="197" t="str">
        <f t="shared" si="2"/>
        <v>SLOPE PROTECTION  CONCRETE</v>
      </c>
    </row>
    <row r="169" spans="1:9">
      <c r="A169" s="213" t="s">
        <v>2555</v>
      </c>
      <c r="B169" s="211" t="s">
        <v>2554</v>
      </c>
      <c r="C169" s="211" t="s">
        <v>1876</v>
      </c>
      <c r="D169" s="212">
        <v>5.75</v>
      </c>
      <c r="E169" s="211"/>
      <c r="F169" s="211"/>
      <c r="G169" s="211"/>
      <c r="H169" s="210">
        <v>39553</v>
      </c>
      <c r="I169" s="197" t="str">
        <f t="shared" si="2"/>
        <v>ROCK WALL</v>
      </c>
    </row>
    <row r="170" spans="1:9" ht="26.4">
      <c r="A170" s="213" t="s">
        <v>2553</v>
      </c>
      <c r="B170" s="211" t="s">
        <v>2552</v>
      </c>
      <c r="C170" s="211" t="s">
        <v>1876</v>
      </c>
      <c r="D170" s="212">
        <v>4</v>
      </c>
      <c r="E170" s="211"/>
      <c r="F170" s="211"/>
      <c r="G170" s="211"/>
      <c r="H170" s="210">
        <v>39553</v>
      </c>
      <c r="I170" s="197" t="str">
        <f t="shared" si="2"/>
        <v>BRIDGE AND BOX CULVERT REMOVAL (10 MI RT HAUL FOR DISPOSAL)</v>
      </c>
    </row>
    <row r="171" spans="1:9" ht="26.4">
      <c r="A171" s="213" t="s">
        <v>2551</v>
      </c>
      <c r="B171" s="211" t="s">
        <v>2550</v>
      </c>
      <c r="C171" s="211" t="s">
        <v>1873</v>
      </c>
      <c r="D171" s="212">
        <v>45</v>
      </c>
      <c r="E171" s="211"/>
      <c r="F171" s="211"/>
      <c r="G171" s="211"/>
      <c r="H171" s="210">
        <v>39553</v>
      </c>
      <c r="I171" s="197" t="str">
        <f t="shared" si="2"/>
        <v>CONCRETE AND MASONRY REMOVAL (10 MI RT HAUL FOR DISPOSAL)</v>
      </c>
    </row>
    <row r="172" spans="1:9">
      <c r="A172" s="213" t="s">
        <v>2549</v>
      </c>
      <c r="B172" s="211" t="s">
        <v>2548</v>
      </c>
      <c r="C172" s="211" t="s">
        <v>1876</v>
      </c>
      <c r="D172" s="212">
        <v>1.25</v>
      </c>
      <c r="E172" s="211"/>
      <c r="F172" s="211"/>
      <c r="G172" s="211"/>
      <c r="H172" s="210">
        <v>39553</v>
      </c>
      <c r="I172" s="197" t="str">
        <f t="shared" si="2"/>
        <v>BRIDGE  WOOD AND BEAM  REMOVAL</v>
      </c>
    </row>
    <row r="173" spans="1:9" ht="26.4">
      <c r="A173" s="213" t="s">
        <v>2547</v>
      </c>
      <c r="B173" s="211" t="s">
        <v>2546</v>
      </c>
      <c r="C173" s="211" t="s">
        <v>1876</v>
      </c>
      <c r="D173" s="212">
        <v>10.5</v>
      </c>
      <c r="E173" s="211"/>
      <c r="F173" s="211"/>
      <c r="G173" s="211"/>
      <c r="H173" s="210">
        <v>39462</v>
      </c>
      <c r="I173" s="197" t="str">
        <f t="shared" si="2"/>
        <v>WINGWALL, TREATED TIMBER (WITH PILING)</v>
      </c>
    </row>
    <row r="174" spans="1:9">
      <c r="A174" s="213" t="s">
        <v>2545</v>
      </c>
      <c r="B174" s="211" t="s">
        <v>2544</v>
      </c>
      <c r="C174" s="211" t="s">
        <v>2541</v>
      </c>
      <c r="D174" s="212">
        <v>945</v>
      </c>
      <c r="E174" s="211"/>
      <c r="F174" s="211"/>
      <c r="G174" s="211"/>
      <c r="H174" s="210">
        <v>39553</v>
      </c>
      <c r="I174" s="197" t="str">
        <f t="shared" si="2"/>
        <v>TREATED TIMBER (FOB)</v>
      </c>
    </row>
    <row r="175" spans="1:9">
      <c r="A175" s="213" t="s">
        <v>2543</v>
      </c>
      <c r="B175" s="211" t="s">
        <v>2542</v>
      </c>
      <c r="C175" s="211" t="s">
        <v>2541</v>
      </c>
      <c r="D175" s="212">
        <v>1800</v>
      </c>
      <c r="E175" s="211"/>
      <c r="F175" s="211"/>
      <c r="G175" s="211"/>
      <c r="H175" s="210">
        <v>39553</v>
      </c>
      <c r="I175" s="197" t="str">
        <f t="shared" si="2"/>
        <v>TREATED TIMBER (IN PLACE)</v>
      </c>
    </row>
    <row r="176" spans="1:9">
      <c r="A176" s="213" t="s">
        <v>2540</v>
      </c>
      <c r="B176" s="211" t="s">
        <v>2539</v>
      </c>
      <c r="C176" s="211" t="s">
        <v>1876</v>
      </c>
      <c r="D176" s="212">
        <v>28</v>
      </c>
      <c r="E176" s="211"/>
      <c r="F176" s="211"/>
      <c r="G176" s="211"/>
      <c r="H176" s="210">
        <v>39553</v>
      </c>
      <c r="I176" s="197" t="str">
        <f t="shared" si="2"/>
        <v>BRIDGE  TREATED TIMBER  IN PLACE</v>
      </c>
    </row>
    <row r="177" spans="1:9">
      <c r="A177" s="213" t="s">
        <v>2538</v>
      </c>
      <c r="B177" s="211" t="s">
        <v>2537</v>
      </c>
      <c r="C177" s="211" t="s">
        <v>1834</v>
      </c>
      <c r="D177" s="212">
        <v>18</v>
      </c>
      <c r="E177" s="211"/>
      <c r="F177" s="211"/>
      <c r="G177" s="211"/>
      <c r="H177" s="210">
        <v>39553</v>
      </c>
      <c r="I177" s="197" t="str">
        <f t="shared" si="2"/>
        <v>BRIDGE RAILING (APPROACH)</v>
      </c>
    </row>
    <row r="178" spans="1:9">
      <c r="A178" s="213" t="s">
        <v>2536</v>
      </c>
      <c r="B178" s="211" t="s">
        <v>2535</v>
      </c>
      <c r="C178" s="211" t="s">
        <v>1834</v>
      </c>
      <c r="D178" s="212">
        <v>35</v>
      </c>
      <c r="E178" s="211"/>
      <c r="F178" s="211"/>
      <c r="G178" s="211"/>
      <c r="H178" s="210">
        <v>39553</v>
      </c>
      <c r="I178" s="197" t="str">
        <f t="shared" si="2"/>
        <v>BRIDGE RAILING (BRIDGE ITSELF)</v>
      </c>
    </row>
    <row r="179" spans="1:9">
      <c r="A179" s="213" t="s">
        <v>2534</v>
      </c>
      <c r="B179" s="211" t="s">
        <v>2533</v>
      </c>
      <c r="C179" s="211" t="s">
        <v>1834</v>
      </c>
      <c r="D179" s="212">
        <v>14</v>
      </c>
      <c r="E179" s="211"/>
      <c r="F179" s="211"/>
      <c r="G179" s="211"/>
      <c r="H179" s="210">
        <v>39469</v>
      </c>
      <c r="I179" s="197" t="str">
        <f t="shared" si="2"/>
        <v>BRIDGE RAILING (METAL OR TIMBER)</v>
      </c>
    </row>
    <row r="180" spans="1:9">
      <c r="A180" s="213" t="s">
        <v>2532</v>
      </c>
      <c r="B180" s="211" t="s">
        <v>2531</v>
      </c>
      <c r="C180" s="211" t="s">
        <v>1876</v>
      </c>
      <c r="D180" s="212">
        <v>35</v>
      </c>
      <c r="E180" s="211"/>
      <c r="F180" s="211"/>
      <c r="G180" s="211"/>
      <c r="H180" s="210">
        <v>39462</v>
      </c>
      <c r="I180" s="197" t="str">
        <f t="shared" si="2"/>
        <v>BRIDGE (STEEL AND TIMBER)</v>
      </c>
    </row>
    <row r="181" spans="1:9" ht="14.4">
      <c r="A181" s="213" t="s">
        <v>2530</v>
      </c>
      <c r="B181" s="211" t="s">
        <v>2529</v>
      </c>
      <c r="C181" s="211" t="s">
        <v>1873</v>
      </c>
      <c r="D181" s="219">
        <v>18</v>
      </c>
      <c r="E181" s="211"/>
      <c r="F181" s="211"/>
      <c r="G181" s="211"/>
      <c r="H181" s="217">
        <v>40878</v>
      </c>
      <c r="I181" s="197" t="str">
        <f t="shared" si="2"/>
        <v>EXCAVATION  STRUCTURAL</v>
      </c>
    </row>
    <row r="182" spans="1:9" ht="14.4">
      <c r="A182" s="213" t="s">
        <v>2528</v>
      </c>
      <c r="B182" s="211" t="s">
        <v>2527</v>
      </c>
      <c r="C182" s="211" t="s">
        <v>1873</v>
      </c>
      <c r="D182" s="219">
        <v>16</v>
      </c>
      <c r="E182" s="211"/>
      <c r="F182" s="211"/>
      <c r="G182" s="211"/>
      <c r="H182" s="217">
        <v>40878</v>
      </c>
      <c r="I182" s="197" t="str">
        <f t="shared" si="2"/>
        <v>BACKFILL  STRUCTURAL</v>
      </c>
    </row>
    <row r="183" spans="1:9" ht="14.4">
      <c r="A183" s="213" t="s">
        <v>2526</v>
      </c>
      <c r="B183" s="211" t="s">
        <v>2525</v>
      </c>
      <c r="C183" s="211" t="s">
        <v>1873</v>
      </c>
      <c r="D183" s="212">
        <v>18</v>
      </c>
      <c r="E183" s="211"/>
      <c r="F183" s="211"/>
      <c r="G183" s="211"/>
      <c r="H183" s="217">
        <v>39553</v>
      </c>
      <c r="I183" s="197" t="str">
        <f t="shared" si="2"/>
        <v>BEDDING MATERIAL (SELECT GRANULAR)</v>
      </c>
    </row>
    <row r="184" spans="1:9" ht="14.4">
      <c r="A184" s="213" t="s">
        <v>2524</v>
      </c>
      <c r="B184" s="211" t="s">
        <v>2523</v>
      </c>
      <c r="C184" s="211" t="s">
        <v>1834</v>
      </c>
      <c r="D184" s="212">
        <v>18.5</v>
      </c>
      <c r="E184" s="211"/>
      <c r="F184" s="211"/>
      <c r="G184" s="211"/>
      <c r="H184" s="217">
        <v>39553</v>
      </c>
      <c r="I184" s="197" t="str">
        <f t="shared" si="2"/>
        <v>PILING (TREATED TIMBER) FURN. &amp; DR.</v>
      </c>
    </row>
    <row r="185" spans="1:9" ht="14.4">
      <c r="A185" s="213" t="s">
        <v>2522</v>
      </c>
      <c r="B185" s="211" t="s">
        <v>2521</v>
      </c>
      <c r="C185" s="211" t="s">
        <v>1834</v>
      </c>
      <c r="D185" s="212">
        <v>15</v>
      </c>
      <c r="E185" s="211"/>
      <c r="F185" s="211"/>
      <c r="G185" s="211"/>
      <c r="H185" s="217">
        <v>39553</v>
      </c>
      <c r="I185" s="197" t="str">
        <f t="shared" si="2"/>
        <v>PILING (STEEL SHEET) FURN. &amp; DR.</v>
      </c>
    </row>
    <row r="186" spans="1:9">
      <c r="A186" s="213" t="s">
        <v>2520</v>
      </c>
      <c r="B186" s="211" t="s">
        <v>2519</v>
      </c>
      <c r="C186" s="211" t="s">
        <v>1834</v>
      </c>
      <c r="D186" s="212">
        <v>21.5</v>
      </c>
      <c r="E186" s="211"/>
      <c r="F186" s="211"/>
      <c r="G186" s="211"/>
      <c r="H186" s="210">
        <v>39553</v>
      </c>
      <c r="I186" s="197" t="str">
        <f t="shared" si="2"/>
        <v>PILING (H-BEAM) FURN. &amp; DR.</v>
      </c>
    </row>
    <row r="187" spans="1:9">
      <c r="A187" s="213" t="s">
        <v>2518</v>
      </c>
      <c r="B187" s="211" t="s">
        <v>2517</v>
      </c>
      <c r="C187" s="211" t="s">
        <v>1834</v>
      </c>
      <c r="D187" s="212">
        <v>0</v>
      </c>
      <c r="E187" s="211"/>
      <c r="F187" s="211"/>
      <c r="G187" s="211"/>
      <c r="H187" s="210">
        <v>39469</v>
      </c>
      <c r="I187" s="197" t="str">
        <f t="shared" si="2"/>
        <v>PILING (H-BEAM) USED</v>
      </c>
    </row>
    <row r="188" spans="1:9">
      <c r="A188" s="213" t="s">
        <v>2516</v>
      </c>
      <c r="B188" s="211" t="s">
        <v>2515</v>
      </c>
      <c r="C188" s="211" t="s">
        <v>1834</v>
      </c>
      <c r="D188" s="212">
        <v>12</v>
      </c>
      <c r="E188" s="211"/>
      <c r="F188" s="211"/>
      <c r="G188" s="211"/>
      <c r="H188" s="210">
        <v>39553</v>
      </c>
      <c r="I188" s="197" t="str">
        <f t="shared" si="2"/>
        <v>CULVERT  RELAY (SALVAGE 12" - 48")</v>
      </c>
    </row>
    <row r="189" spans="1:9">
      <c r="A189" s="213" t="s">
        <v>2514</v>
      </c>
      <c r="B189" s="211" t="s">
        <v>2513</v>
      </c>
      <c r="C189" s="211" t="s">
        <v>1834</v>
      </c>
      <c r="D189" s="212">
        <v>20</v>
      </c>
      <c r="E189" s="211"/>
      <c r="F189" s="211"/>
      <c r="G189" s="211"/>
      <c r="H189" s="210">
        <v>39469</v>
      </c>
      <c r="I189" s="197" t="str">
        <f t="shared" si="2"/>
        <v>CULVERT, RELAY (SALVAGE, OVER 48")</v>
      </c>
    </row>
    <row r="190" spans="1:9" ht="26.4">
      <c r="A190" s="213" t="s">
        <v>2512</v>
      </c>
      <c r="B190" s="211" t="s">
        <v>2511</v>
      </c>
      <c r="C190" s="211" t="s">
        <v>1834</v>
      </c>
      <c r="D190" s="212">
        <v>6</v>
      </c>
      <c r="E190" s="211"/>
      <c r="F190" s="211"/>
      <c r="G190" s="211"/>
      <c r="H190" s="210">
        <v>39469</v>
      </c>
      <c r="I190" s="197" t="str">
        <f t="shared" si="2"/>
        <v>CULVERT, REMOVE, AND DISPOSE, UNDER 48"</v>
      </c>
    </row>
    <row r="191" spans="1:9" ht="26.4">
      <c r="A191" s="213" t="s">
        <v>2510</v>
      </c>
      <c r="B191" s="211" t="s">
        <v>2509</v>
      </c>
      <c r="C191" s="211" t="s">
        <v>1834</v>
      </c>
      <c r="D191" s="212">
        <v>10</v>
      </c>
      <c r="E191" s="211"/>
      <c r="F191" s="211"/>
      <c r="G191" s="211"/>
      <c r="H191" s="210">
        <v>39469</v>
      </c>
      <c r="I191" s="197" t="str">
        <f t="shared" si="2"/>
        <v>CULVERT, REMOVE AND DISPOSE, OVER 48"</v>
      </c>
    </row>
    <row r="192" spans="1:9" ht="14.4">
      <c r="A192" s="213" t="s">
        <v>2508</v>
      </c>
      <c r="B192" s="211" t="s">
        <v>2507</v>
      </c>
      <c r="C192" s="211" t="s">
        <v>1834</v>
      </c>
      <c r="D192" s="219">
        <v>15.11</v>
      </c>
      <c r="E192" s="211"/>
      <c r="F192" s="211"/>
      <c r="G192" s="211"/>
      <c r="H192" s="217">
        <v>40878</v>
      </c>
      <c r="I192" s="197" t="str">
        <f t="shared" si="2"/>
        <v>CMP 8" (FURNISH AND INSTALL)</v>
      </c>
    </row>
    <row r="193" spans="1:9" ht="14.4">
      <c r="A193" s="213" t="s">
        <v>2506</v>
      </c>
      <c r="B193" s="211" t="s">
        <v>2505</v>
      </c>
      <c r="C193" s="211" t="s">
        <v>1834</v>
      </c>
      <c r="D193" s="219">
        <v>16.670000000000002</v>
      </c>
      <c r="E193" s="211"/>
      <c r="F193" s="211"/>
      <c r="G193" s="211"/>
      <c r="H193" s="217">
        <v>40878</v>
      </c>
      <c r="I193" s="197" t="str">
        <f t="shared" si="2"/>
        <v>CMP 12" (FURNISH AND INSTALL)</v>
      </c>
    </row>
    <row r="194" spans="1:9" ht="14.4">
      <c r="A194" s="213" t="s">
        <v>2504</v>
      </c>
      <c r="B194" s="211" t="s">
        <v>2503</v>
      </c>
      <c r="C194" s="211" t="s">
        <v>1834</v>
      </c>
      <c r="D194" s="219">
        <v>19.87</v>
      </c>
      <c r="E194" s="211"/>
      <c r="F194" s="211"/>
      <c r="G194" s="211"/>
      <c r="H194" s="217">
        <v>40878</v>
      </c>
      <c r="I194" s="197" t="str">
        <f t="shared" si="2"/>
        <v>CMP 15" (FURNISH AND INSTALL)</v>
      </c>
    </row>
    <row r="195" spans="1:9" ht="14.4">
      <c r="A195" s="213" t="s">
        <v>2502</v>
      </c>
      <c r="B195" s="211" t="s">
        <v>2501</v>
      </c>
      <c r="C195" s="211" t="s">
        <v>1834</v>
      </c>
      <c r="D195" s="219">
        <v>24</v>
      </c>
      <c r="E195" s="211"/>
      <c r="F195" s="211"/>
      <c r="G195" s="211"/>
      <c r="H195" s="217">
        <v>40878</v>
      </c>
      <c r="I195" s="197" t="str">
        <f t="shared" si="2"/>
        <v>CMP 18" (FURNISH AND INSTALL)</v>
      </c>
    </row>
    <row r="196" spans="1:9" ht="14.4">
      <c r="A196" s="213" t="s">
        <v>2500</v>
      </c>
      <c r="B196" s="211" t="s">
        <v>2499</v>
      </c>
      <c r="C196" s="211" t="s">
        <v>1834</v>
      </c>
      <c r="D196" s="219">
        <v>36.409999999999997</v>
      </c>
      <c r="E196" s="211"/>
      <c r="F196" s="211"/>
      <c r="G196" s="211"/>
      <c r="H196" s="217">
        <v>40878</v>
      </c>
      <c r="I196" s="197" t="str">
        <f t="shared" ref="I196:I259" si="3">IF(B196="","",B196)</f>
        <v>CMP 24" (FURNISH AND INSTALL)</v>
      </c>
    </row>
    <row r="197" spans="1:9" ht="14.4">
      <c r="A197" s="213" t="s">
        <v>2498</v>
      </c>
      <c r="B197" s="211" t="s">
        <v>2497</v>
      </c>
      <c r="C197" s="211" t="s">
        <v>1834</v>
      </c>
      <c r="D197" s="219">
        <v>44</v>
      </c>
      <c r="E197" s="211"/>
      <c r="F197" s="211"/>
      <c r="G197" s="211"/>
      <c r="H197" s="217">
        <v>40878</v>
      </c>
      <c r="I197" s="197" t="str">
        <f t="shared" si="3"/>
        <v>CMP 30" (FURNISH AND INSTALL)</v>
      </c>
    </row>
    <row r="198" spans="1:9" ht="14.4">
      <c r="A198" s="213" t="s">
        <v>2496</v>
      </c>
      <c r="B198" s="211" t="s">
        <v>2495</v>
      </c>
      <c r="C198" s="211" t="s">
        <v>1834</v>
      </c>
      <c r="D198" s="219">
        <v>46</v>
      </c>
      <c r="E198" s="211"/>
      <c r="F198" s="211"/>
      <c r="G198" s="211"/>
      <c r="H198" s="217">
        <v>40878</v>
      </c>
      <c r="I198" s="197" t="str">
        <f t="shared" si="3"/>
        <v>CMP 36" (FURNISH AND INSTALL)</v>
      </c>
    </row>
    <row r="199" spans="1:9" ht="14.4">
      <c r="A199" s="213" t="s">
        <v>2494</v>
      </c>
      <c r="B199" s="211" t="s">
        <v>2493</v>
      </c>
      <c r="C199" s="211" t="s">
        <v>1834</v>
      </c>
      <c r="D199" s="219">
        <v>52.5</v>
      </c>
      <c r="E199" s="211"/>
      <c r="F199" s="211"/>
      <c r="G199" s="211"/>
      <c r="H199" s="217">
        <v>40878</v>
      </c>
      <c r="I199" s="197" t="str">
        <f t="shared" si="3"/>
        <v>CMP 42" (FURNISH AND INSTALL)</v>
      </c>
    </row>
    <row r="200" spans="1:9" ht="14.4">
      <c r="A200" s="213" t="s">
        <v>2492</v>
      </c>
      <c r="B200" s="211" t="s">
        <v>2491</v>
      </c>
      <c r="C200" s="211" t="s">
        <v>1834</v>
      </c>
      <c r="D200" s="219">
        <v>59.85</v>
      </c>
      <c r="E200" s="211"/>
      <c r="F200" s="211"/>
      <c r="G200" s="211"/>
      <c r="H200" s="217">
        <v>40878</v>
      </c>
      <c r="I200" s="197" t="str">
        <f t="shared" si="3"/>
        <v>CMP 48" (FURNISH AND INSTALL)</v>
      </c>
    </row>
    <row r="201" spans="1:9" ht="14.4">
      <c r="A201" s="213" t="s">
        <v>2490</v>
      </c>
      <c r="B201" s="211" t="s">
        <v>2489</v>
      </c>
      <c r="C201" s="211" t="s">
        <v>1834</v>
      </c>
      <c r="D201" s="219">
        <v>88.88</v>
      </c>
      <c r="E201" s="211"/>
      <c r="F201" s="211"/>
      <c r="G201" s="211"/>
      <c r="H201" s="217">
        <v>40878</v>
      </c>
      <c r="I201" s="197" t="str">
        <f t="shared" si="3"/>
        <v>CMP 54" (FURNISH AND INSTALL)</v>
      </c>
    </row>
    <row r="202" spans="1:9" ht="14.4">
      <c r="A202" s="213" t="s">
        <v>2488</v>
      </c>
      <c r="B202" s="211" t="s">
        <v>2487</v>
      </c>
      <c r="C202" s="211" t="s">
        <v>1834</v>
      </c>
      <c r="D202" s="219">
        <v>97.6</v>
      </c>
      <c r="E202" s="211"/>
      <c r="F202" s="211"/>
      <c r="G202" s="211"/>
      <c r="H202" s="217">
        <v>40878</v>
      </c>
      <c r="I202" s="197" t="str">
        <f t="shared" si="3"/>
        <v>CMP 60" (FURNISH AND INSTALL)</v>
      </c>
    </row>
    <row r="203" spans="1:9" ht="14.4">
      <c r="A203" s="213" t="s">
        <v>2486</v>
      </c>
      <c r="B203" s="211" t="s">
        <v>2485</v>
      </c>
      <c r="C203" s="211" t="s">
        <v>1834</v>
      </c>
      <c r="D203" s="219">
        <v>122.56</v>
      </c>
      <c r="E203" s="211"/>
      <c r="F203" s="211"/>
      <c r="G203" s="211"/>
      <c r="H203" s="217">
        <v>40878</v>
      </c>
      <c r="I203" s="197" t="str">
        <f t="shared" si="3"/>
        <v>CMP 72" (FURNISH AND INSTALL)</v>
      </c>
    </row>
    <row r="204" spans="1:9">
      <c r="A204" s="213" t="s">
        <v>2484</v>
      </c>
      <c r="B204" s="211" t="s">
        <v>2483</v>
      </c>
      <c r="C204" s="211" t="s">
        <v>1834</v>
      </c>
      <c r="D204" s="212">
        <v>156</v>
      </c>
      <c r="E204" s="211"/>
      <c r="F204" s="211"/>
      <c r="G204" s="211"/>
      <c r="H204" s="210">
        <v>39553</v>
      </c>
      <c r="I204" s="197" t="str">
        <f t="shared" si="3"/>
        <v>CMP 96" (FURNISH AND INSTALL)</v>
      </c>
    </row>
    <row r="205" spans="1:9">
      <c r="A205" s="213" t="s">
        <v>2482</v>
      </c>
      <c r="B205" s="211" t="s">
        <v>2481</v>
      </c>
      <c r="C205" s="211" t="s">
        <v>1834</v>
      </c>
      <c r="D205" s="212">
        <v>165</v>
      </c>
      <c r="E205" s="211"/>
      <c r="F205" s="211"/>
      <c r="G205" s="211"/>
      <c r="H205" s="210">
        <v>39553</v>
      </c>
      <c r="I205" s="197" t="str">
        <f t="shared" si="3"/>
        <v>CMP 108" (FURNISH AND INSTALL)</v>
      </c>
    </row>
    <row r="206" spans="1:9">
      <c r="A206" s="213" t="s">
        <v>2480</v>
      </c>
      <c r="B206" s="211" t="s">
        <v>2479</v>
      </c>
      <c r="C206" s="211" t="s">
        <v>1834</v>
      </c>
      <c r="D206" s="212">
        <v>175</v>
      </c>
      <c r="E206" s="211"/>
      <c r="F206" s="211"/>
      <c r="G206" s="211"/>
      <c r="H206" s="210">
        <v>39553</v>
      </c>
      <c r="I206" s="197" t="str">
        <f t="shared" si="3"/>
        <v>CMP 120" (FURNISH AND INSTALL)</v>
      </c>
    </row>
    <row r="207" spans="1:9" ht="26.4">
      <c r="A207" s="213" t="s">
        <v>2478</v>
      </c>
      <c r="B207" s="211" t="s">
        <v>2477</v>
      </c>
      <c r="C207" s="211" t="s">
        <v>1834</v>
      </c>
      <c r="D207" s="212">
        <v>230</v>
      </c>
      <c r="E207" s="211"/>
      <c r="F207" s="211"/>
      <c r="G207" s="211"/>
      <c r="H207" s="210">
        <v>39553</v>
      </c>
      <c r="I207" s="197" t="str">
        <f t="shared" si="3"/>
        <v>CORRUGATED STRUCTURE PLATE PIPE ARCH (96")</v>
      </c>
    </row>
    <row r="208" spans="1:9">
      <c r="A208" s="213" t="s">
        <v>2476</v>
      </c>
      <c r="B208" s="220" t="s">
        <v>2475</v>
      </c>
      <c r="C208" s="211" t="s">
        <v>1834</v>
      </c>
      <c r="D208" s="212">
        <v>20</v>
      </c>
      <c r="E208" s="211"/>
      <c r="F208" s="211"/>
      <c r="G208" s="211"/>
      <c r="H208" s="210">
        <v>39553</v>
      </c>
      <c r="I208" s="197" t="str">
        <f t="shared" si="3"/>
        <v>RCP 12" (FURNISH AND INSTALL)</v>
      </c>
    </row>
    <row r="209" spans="1:9">
      <c r="A209" s="213" t="s">
        <v>2474</v>
      </c>
      <c r="B209" s="211" t="s">
        <v>2473</v>
      </c>
      <c r="C209" s="211" t="s">
        <v>1834</v>
      </c>
      <c r="D209" s="215">
        <v>25</v>
      </c>
      <c r="E209" s="211"/>
      <c r="F209" s="211"/>
      <c r="G209" s="211"/>
      <c r="H209" s="210">
        <v>39553</v>
      </c>
      <c r="I209" s="197" t="str">
        <f t="shared" si="3"/>
        <v>RCP 18" (FURNISH AND INSTALL)</v>
      </c>
    </row>
    <row r="210" spans="1:9">
      <c r="A210" s="213" t="s">
        <v>2472</v>
      </c>
      <c r="B210" s="211" t="s">
        <v>2471</v>
      </c>
      <c r="C210" s="211" t="s">
        <v>1834</v>
      </c>
      <c r="D210" s="212">
        <v>35</v>
      </c>
      <c r="E210" s="211"/>
      <c r="F210" s="211"/>
      <c r="G210" s="211"/>
      <c r="H210" s="210">
        <v>39553</v>
      </c>
      <c r="I210" s="197" t="str">
        <f t="shared" si="3"/>
        <v>RCP 24" (FURNISH AND INSTALL)</v>
      </c>
    </row>
    <row r="211" spans="1:9">
      <c r="A211" s="213" t="s">
        <v>2470</v>
      </c>
      <c r="B211" s="211" t="s">
        <v>2469</v>
      </c>
      <c r="C211" s="211" t="s">
        <v>1834</v>
      </c>
      <c r="D211" s="212">
        <v>40</v>
      </c>
      <c r="E211" s="211"/>
      <c r="F211" s="211"/>
      <c r="G211" s="211"/>
      <c r="H211" s="210">
        <v>39553</v>
      </c>
      <c r="I211" s="197" t="str">
        <f t="shared" si="3"/>
        <v>RCP 30" (FURNISH AND INSTALL)</v>
      </c>
    </row>
    <row r="212" spans="1:9">
      <c r="A212" s="213" t="s">
        <v>2468</v>
      </c>
      <c r="B212" s="211" t="s">
        <v>2467</v>
      </c>
      <c r="C212" s="211" t="s">
        <v>1834</v>
      </c>
      <c r="D212" s="212">
        <v>52</v>
      </c>
      <c r="E212" s="211"/>
      <c r="F212" s="211"/>
      <c r="G212" s="211"/>
      <c r="H212" s="210">
        <v>39553</v>
      </c>
      <c r="I212" s="197" t="str">
        <f t="shared" si="3"/>
        <v>RCP 36" (FURNISH AND INSTALL)</v>
      </c>
    </row>
    <row r="213" spans="1:9">
      <c r="A213" s="213" t="s">
        <v>2466</v>
      </c>
      <c r="B213" s="211" t="s">
        <v>2465</v>
      </c>
      <c r="C213" s="211" t="s">
        <v>1834</v>
      </c>
      <c r="D213" s="212">
        <v>65</v>
      </c>
      <c r="E213" s="211"/>
      <c r="F213" s="211"/>
      <c r="G213" s="211"/>
      <c r="H213" s="210">
        <v>39553</v>
      </c>
      <c r="I213" s="197" t="str">
        <f t="shared" si="3"/>
        <v>RCP 42" (FURNISH AND INSTALL)</v>
      </c>
    </row>
    <row r="214" spans="1:9">
      <c r="A214" s="213" t="s">
        <v>2464</v>
      </c>
      <c r="B214" s="211" t="s">
        <v>2463</v>
      </c>
      <c r="C214" s="211" t="s">
        <v>1834</v>
      </c>
      <c r="D214" s="212">
        <v>88</v>
      </c>
      <c r="E214" s="211"/>
      <c r="F214" s="211"/>
      <c r="G214" s="211"/>
      <c r="H214" s="210">
        <v>39553</v>
      </c>
      <c r="I214" s="197" t="str">
        <f t="shared" si="3"/>
        <v>RCP 54" (FURNISH AND INSTALL)</v>
      </c>
    </row>
    <row r="215" spans="1:9">
      <c r="A215" s="213" t="s">
        <v>2462</v>
      </c>
      <c r="B215" s="211" t="s">
        <v>2461</v>
      </c>
      <c r="C215" s="211" t="s">
        <v>1834</v>
      </c>
      <c r="D215" s="212">
        <v>108</v>
      </c>
      <c r="E215" s="211"/>
      <c r="F215" s="211"/>
      <c r="G215" s="211"/>
      <c r="H215" s="210">
        <v>39553</v>
      </c>
      <c r="I215" s="197" t="str">
        <f t="shared" si="3"/>
        <v>RCP 60" (FURNISH AND INSTALL)</v>
      </c>
    </row>
    <row r="216" spans="1:9">
      <c r="A216" s="213" t="s">
        <v>2460</v>
      </c>
      <c r="B216" s="211" t="s">
        <v>2459</v>
      </c>
      <c r="C216" s="211" t="s">
        <v>1834</v>
      </c>
      <c r="D216" s="212">
        <v>161</v>
      </c>
      <c r="E216" s="211"/>
      <c r="F216" s="211"/>
      <c r="G216" s="211"/>
      <c r="H216" s="210">
        <v>39553</v>
      </c>
      <c r="I216" s="197" t="str">
        <f t="shared" si="3"/>
        <v>RCP 72" (FURNISH AND INSTALL)</v>
      </c>
    </row>
    <row r="217" spans="1:9">
      <c r="A217" s="213" t="s">
        <v>2458</v>
      </c>
      <c r="B217" s="211" t="s">
        <v>2457</v>
      </c>
      <c r="C217" s="211" t="s">
        <v>1834</v>
      </c>
      <c r="D217" s="212">
        <v>210</v>
      </c>
      <c r="E217" s="211"/>
      <c r="F217" s="211"/>
      <c r="G217" s="211"/>
      <c r="H217" s="210">
        <v>39553</v>
      </c>
      <c r="I217" s="197" t="str">
        <f t="shared" si="3"/>
        <v>RCP 84" (FURNISH AND INSTALL)</v>
      </c>
    </row>
    <row r="218" spans="1:9">
      <c r="A218" s="213" t="s">
        <v>2456</v>
      </c>
      <c r="B218" s="211" t="s">
        <v>2455</v>
      </c>
      <c r="C218" s="211" t="s">
        <v>1834</v>
      </c>
      <c r="D218" s="212">
        <v>272</v>
      </c>
      <c r="E218" s="211"/>
      <c r="F218" s="211"/>
      <c r="G218" s="211"/>
      <c r="H218" s="210">
        <v>39553</v>
      </c>
      <c r="I218" s="197" t="str">
        <f t="shared" si="3"/>
        <v>RCP 96" (FURNISH AND INSTALL)</v>
      </c>
    </row>
    <row r="219" spans="1:9">
      <c r="A219" s="213" t="s">
        <v>2454</v>
      </c>
      <c r="B219" s="211" t="s">
        <v>2453</v>
      </c>
      <c r="C219" s="211" t="s">
        <v>1834</v>
      </c>
      <c r="D219" s="212">
        <v>354</v>
      </c>
      <c r="E219" s="211"/>
      <c r="F219" s="211"/>
      <c r="G219" s="211"/>
      <c r="H219" s="210">
        <v>39553</v>
      </c>
      <c r="I219" s="197" t="str">
        <f t="shared" si="3"/>
        <v>RCP 108" (FURNISH AND INSTALL)</v>
      </c>
    </row>
    <row r="220" spans="1:9">
      <c r="A220" s="213" t="s">
        <v>2452</v>
      </c>
      <c r="B220" s="211" t="s">
        <v>2451</v>
      </c>
      <c r="C220" s="211" t="s">
        <v>1806</v>
      </c>
      <c r="D220" s="212">
        <v>140</v>
      </c>
      <c r="E220" s="211"/>
      <c r="F220" s="211"/>
      <c r="G220" s="211"/>
      <c r="H220" s="210">
        <v>39553</v>
      </c>
      <c r="I220" s="197" t="str">
        <f t="shared" si="3"/>
        <v>RCP 12" END SECTIONS</v>
      </c>
    </row>
    <row r="221" spans="1:9">
      <c r="A221" s="213" t="s">
        <v>2450</v>
      </c>
      <c r="B221" s="211" t="s">
        <v>2449</v>
      </c>
      <c r="C221" s="211" t="s">
        <v>1806</v>
      </c>
      <c r="D221" s="212">
        <v>170</v>
      </c>
      <c r="E221" s="211"/>
      <c r="F221" s="211"/>
      <c r="G221" s="211"/>
      <c r="H221" s="210">
        <v>39553</v>
      </c>
      <c r="I221" s="197" t="str">
        <f t="shared" si="3"/>
        <v>RCP 15" END SECTIONS</v>
      </c>
    </row>
    <row r="222" spans="1:9">
      <c r="A222" s="213" t="s">
        <v>2448</v>
      </c>
      <c r="B222" s="211" t="s">
        <v>2447</v>
      </c>
      <c r="C222" s="211" t="s">
        <v>1806</v>
      </c>
      <c r="D222" s="212">
        <v>180</v>
      </c>
      <c r="E222" s="211"/>
      <c r="F222" s="211"/>
      <c r="G222" s="211"/>
      <c r="H222" s="210">
        <v>39553</v>
      </c>
      <c r="I222" s="197" t="str">
        <f t="shared" si="3"/>
        <v>RCP 18" END SECTIONS</v>
      </c>
    </row>
    <row r="223" spans="1:9">
      <c r="A223" s="213" t="s">
        <v>2446</v>
      </c>
      <c r="B223" s="211" t="s">
        <v>2445</v>
      </c>
      <c r="C223" s="211" t="s">
        <v>1806</v>
      </c>
      <c r="D223" s="212">
        <v>200</v>
      </c>
      <c r="E223" s="211"/>
      <c r="F223" s="211"/>
      <c r="G223" s="211"/>
      <c r="H223" s="210">
        <v>39553</v>
      </c>
      <c r="I223" s="197" t="str">
        <f t="shared" si="3"/>
        <v>RCP 24" END SECTIONS</v>
      </c>
    </row>
    <row r="224" spans="1:9">
      <c r="A224" s="213" t="s">
        <v>2444</v>
      </c>
      <c r="B224" s="211" t="s">
        <v>2443</v>
      </c>
      <c r="C224" s="211" t="s">
        <v>1806</v>
      </c>
      <c r="D224" s="212">
        <v>250</v>
      </c>
      <c r="E224" s="211"/>
      <c r="F224" s="211"/>
      <c r="G224" s="211"/>
      <c r="H224" s="210">
        <v>39553</v>
      </c>
      <c r="I224" s="197" t="str">
        <f t="shared" si="3"/>
        <v>RCP 30" END SECTIONS</v>
      </c>
    </row>
    <row r="225" spans="1:9">
      <c r="A225" s="213" t="s">
        <v>2442</v>
      </c>
      <c r="B225" s="211" t="s">
        <v>2441</v>
      </c>
      <c r="C225" s="211" t="s">
        <v>1806</v>
      </c>
      <c r="D225" s="212">
        <v>510</v>
      </c>
      <c r="E225" s="211"/>
      <c r="F225" s="211"/>
      <c r="G225" s="211"/>
      <c r="H225" s="210">
        <v>39553</v>
      </c>
      <c r="I225" s="197" t="str">
        <f t="shared" si="3"/>
        <v>RCP 36" END SECTIONS</v>
      </c>
    </row>
    <row r="226" spans="1:9">
      <c r="A226" s="213" t="s">
        <v>2440</v>
      </c>
      <c r="B226" s="211" t="s">
        <v>2439</v>
      </c>
      <c r="C226" s="211" t="s">
        <v>1806</v>
      </c>
      <c r="D226" s="212">
        <v>850</v>
      </c>
      <c r="E226" s="211"/>
      <c r="F226" s="211"/>
      <c r="G226" s="211"/>
      <c r="H226" s="210">
        <v>39554</v>
      </c>
      <c r="I226" s="197" t="str">
        <f t="shared" si="3"/>
        <v>RCP 48" END SECTIONS</v>
      </c>
    </row>
    <row r="227" spans="1:9">
      <c r="A227" s="213" t="s">
        <v>2438</v>
      </c>
      <c r="B227" s="211" t="s">
        <v>2437</v>
      </c>
      <c r="C227" s="211" t="s">
        <v>1806</v>
      </c>
      <c r="D227" s="212">
        <v>1500</v>
      </c>
      <c r="E227" s="211"/>
      <c r="F227" s="211"/>
      <c r="G227" s="211"/>
      <c r="H227" s="210">
        <v>39554</v>
      </c>
      <c r="I227" s="197" t="str">
        <f t="shared" si="3"/>
        <v>RCP 60" END SECTIONS</v>
      </c>
    </row>
    <row r="228" spans="1:9" ht="14.4">
      <c r="A228" s="213" t="s">
        <v>2436</v>
      </c>
      <c r="B228" s="211" t="s">
        <v>2435</v>
      </c>
      <c r="C228" s="211" t="s">
        <v>1885</v>
      </c>
      <c r="D228" s="215">
        <v>1</v>
      </c>
      <c r="E228" s="211"/>
      <c r="F228" s="211"/>
      <c r="G228" s="211"/>
      <c r="H228" s="217">
        <v>39462</v>
      </c>
      <c r="I228" s="197" t="str">
        <f t="shared" si="3"/>
        <v>TOPSOIL AND SEEDING (HYDR)</v>
      </c>
    </row>
    <row r="229" spans="1:9" ht="26.4">
      <c r="A229" s="213" t="s">
        <v>2434</v>
      </c>
      <c r="B229" s="211" t="s">
        <v>2433</v>
      </c>
      <c r="C229" s="211" t="s">
        <v>1885</v>
      </c>
      <c r="D229" s="215">
        <v>1</v>
      </c>
      <c r="E229" s="211"/>
      <c r="F229" s="211"/>
      <c r="G229" s="211"/>
      <c r="H229" s="217">
        <v>39462</v>
      </c>
      <c r="I229" s="197" t="str">
        <f t="shared" si="3"/>
        <v>TOPSOIL AND SEEDING (4"), FERT. &amp; WATER</v>
      </c>
    </row>
    <row r="230" spans="1:9">
      <c r="A230" s="213" t="s">
        <v>2432</v>
      </c>
      <c r="B230" s="211" t="s">
        <v>2431</v>
      </c>
      <c r="C230" s="211" t="s">
        <v>1885</v>
      </c>
      <c r="D230" s="215">
        <v>0.15</v>
      </c>
      <c r="E230" s="211"/>
      <c r="F230" s="211"/>
      <c r="G230" s="211"/>
      <c r="H230" s="210">
        <v>39462</v>
      </c>
      <c r="I230" s="197" t="str">
        <f t="shared" si="3"/>
        <v>SEED, FERTILIZE &amp; WATER</v>
      </c>
    </row>
    <row r="231" spans="1:9" ht="26.4">
      <c r="A231" s="213" t="s">
        <v>2430</v>
      </c>
      <c r="B231" s="211" t="s">
        <v>2429</v>
      </c>
      <c r="C231" s="211" t="s">
        <v>1876</v>
      </c>
      <c r="D231" s="219">
        <v>40.6</v>
      </c>
      <c r="E231" s="211"/>
      <c r="F231" s="211"/>
      <c r="G231" s="211"/>
      <c r="H231" s="217">
        <v>40878</v>
      </c>
      <c r="I231" s="197" t="str">
        <f t="shared" si="3"/>
        <v>SIGNING  PERMANENT (W/GALVANIZED POSTS)</v>
      </c>
    </row>
    <row r="232" spans="1:9" ht="14.4">
      <c r="A232" s="213" t="s">
        <v>2428</v>
      </c>
      <c r="B232" s="211" t="s">
        <v>2427</v>
      </c>
      <c r="C232" s="211" t="s">
        <v>1834</v>
      </c>
      <c r="D232" s="219">
        <v>19.25</v>
      </c>
      <c r="E232" s="211"/>
      <c r="F232" s="211"/>
      <c r="G232" s="211"/>
      <c r="H232" s="217">
        <v>40878</v>
      </c>
      <c r="I232" s="197" t="str">
        <f t="shared" si="3"/>
        <v>GUARD RAIL  STEEL PLATE BEAM</v>
      </c>
    </row>
    <row r="233" spans="1:9" ht="26.4">
      <c r="A233" s="213" t="s">
        <v>2426</v>
      </c>
      <c r="B233" s="211" t="s">
        <v>2425</v>
      </c>
      <c r="C233" s="211" t="s">
        <v>1834</v>
      </c>
      <c r="D233" s="212">
        <v>3.5</v>
      </c>
      <c r="E233" s="211"/>
      <c r="F233" s="211"/>
      <c r="G233" s="211"/>
      <c r="H233" s="217">
        <v>39554</v>
      </c>
      <c r="I233" s="197" t="str">
        <f t="shared" si="3"/>
        <v>GUARD RAIL  STEEL PLATE BEAM  REMOVAL</v>
      </c>
    </row>
    <row r="234" spans="1:9" ht="14.4">
      <c r="A234" s="213" t="s">
        <v>2424</v>
      </c>
      <c r="B234" s="211" t="s">
        <v>2423</v>
      </c>
      <c r="C234" s="211" t="s">
        <v>1834</v>
      </c>
      <c r="D234" s="215">
        <v>28.5</v>
      </c>
      <c r="E234" s="211"/>
      <c r="F234" s="211"/>
      <c r="G234" s="211"/>
      <c r="H234" s="217">
        <v>39554</v>
      </c>
      <c r="I234" s="197" t="str">
        <f t="shared" si="3"/>
        <v>GUARD RAIL (ON BRIDGE)</v>
      </c>
    </row>
    <row r="235" spans="1:9">
      <c r="A235" s="213" t="s">
        <v>2422</v>
      </c>
      <c r="B235" s="211" t="s">
        <v>2421</v>
      </c>
      <c r="C235" s="211" t="s">
        <v>2027</v>
      </c>
      <c r="D235" s="212">
        <v>0</v>
      </c>
      <c r="E235" s="211"/>
      <c r="F235" s="211"/>
      <c r="G235" s="211"/>
      <c r="H235" s="210">
        <v>39554</v>
      </c>
      <c r="I235" s="197" t="str">
        <f t="shared" si="3"/>
        <v>ENGINEERING AND DESIGN SERVICES</v>
      </c>
    </row>
    <row r="236" spans="1:9">
      <c r="A236" s="213" t="s">
        <v>2420</v>
      </c>
      <c r="B236" s="211" t="s">
        <v>2419</v>
      </c>
      <c r="C236" s="211" t="s">
        <v>2027</v>
      </c>
      <c r="D236" s="212">
        <v>0</v>
      </c>
      <c r="E236" s="211"/>
      <c r="F236" s="211"/>
      <c r="G236" s="211"/>
      <c r="H236" s="210">
        <v>39554</v>
      </c>
      <c r="I236" s="197" t="str">
        <f t="shared" si="3"/>
        <v>BRIDGE DECK SUPPORT  TEMPORARY</v>
      </c>
    </row>
    <row r="237" spans="1:9">
      <c r="A237" s="213" t="s">
        <v>2418</v>
      </c>
      <c r="B237" s="211" t="s">
        <v>2417</v>
      </c>
      <c r="C237" s="211" t="s">
        <v>2027</v>
      </c>
      <c r="D237" s="212">
        <v>0</v>
      </c>
      <c r="E237" s="211"/>
      <c r="F237" s="211"/>
      <c r="G237" s="211"/>
      <c r="H237" s="210">
        <v>39554</v>
      </c>
      <c r="I237" s="197" t="str">
        <f t="shared" si="3"/>
        <v>DEDUCT SALVAGE</v>
      </c>
    </row>
    <row r="238" spans="1:9" ht="14.4">
      <c r="A238" s="213" t="s">
        <v>2416</v>
      </c>
      <c r="B238" s="211" t="s">
        <v>2415</v>
      </c>
      <c r="C238" s="211" t="s">
        <v>1938</v>
      </c>
      <c r="D238" s="215">
        <v>500</v>
      </c>
      <c r="E238" s="211"/>
      <c r="F238" s="211"/>
      <c r="G238" s="211"/>
      <c r="H238" s="217">
        <v>39554</v>
      </c>
      <c r="I238" s="197" t="str">
        <f t="shared" si="3"/>
        <v>LEVEE, GRADING, SEEDING, FERTILIZE</v>
      </c>
    </row>
    <row r="239" spans="1:9" ht="14.4">
      <c r="A239" s="213" t="s">
        <v>2414</v>
      </c>
      <c r="B239" s="211" t="s">
        <v>2413</v>
      </c>
      <c r="C239" s="211" t="s">
        <v>1885</v>
      </c>
      <c r="D239" s="215">
        <v>1.25</v>
      </c>
      <c r="E239" s="211"/>
      <c r="F239" s="211"/>
      <c r="G239" s="211"/>
      <c r="H239" s="217">
        <v>40878</v>
      </c>
      <c r="I239" s="197" t="str">
        <f t="shared" si="3"/>
        <v>SLOPE GRADING</v>
      </c>
    </row>
    <row r="240" spans="1:9" ht="14.4">
      <c r="A240" s="216" t="s">
        <v>2412</v>
      </c>
      <c r="B240" s="214" t="s">
        <v>2411</v>
      </c>
      <c r="C240" s="214" t="s">
        <v>1885</v>
      </c>
      <c r="D240" s="215">
        <v>0.15</v>
      </c>
      <c r="E240" s="214"/>
      <c r="F240" s="214"/>
      <c r="G240" s="214"/>
      <c r="H240" s="217">
        <v>39462</v>
      </c>
      <c r="I240" s="197" t="str">
        <f t="shared" si="3"/>
        <v>LEVEE, GRADING, SEEDING, FERTLIZER</v>
      </c>
    </row>
    <row r="241" spans="1:9">
      <c r="A241" s="213" t="s">
        <v>2410</v>
      </c>
      <c r="B241" s="211" t="s">
        <v>2409</v>
      </c>
      <c r="C241" s="211" t="s">
        <v>1873</v>
      </c>
      <c r="D241" s="215">
        <v>4.5</v>
      </c>
      <c r="E241" s="211"/>
      <c r="F241" s="211"/>
      <c r="G241" s="211"/>
      <c r="H241" s="210">
        <v>39462</v>
      </c>
      <c r="I241" s="197" t="str">
        <f t="shared" si="3"/>
        <v>EXCAVATION (ONLY)</v>
      </c>
    </row>
    <row r="242" spans="1:9">
      <c r="A242" s="213" t="s">
        <v>2408</v>
      </c>
      <c r="B242" s="211" t="s">
        <v>2407</v>
      </c>
      <c r="C242" s="211" t="s">
        <v>1873</v>
      </c>
      <c r="D242" s="215" t="s">
        <v>2406</v>
      </c>
      <c r="E242" s="211"/>
      <c r="F242" s="211"/>
      <c r="G242" s="211"/>
      <c r="H242" s="210">
        <v>39554</v>
      </c>
      <c r="I242" s="197" t="str">
        <f t="shared" si="3"/>
        <v>FILL (COMPACTED CLAY)</v>
      </c>
    </row>
    <row r="243" spans="1:9">
      <c r="A243" s="213" t="s">
        <v>2405</v>
      </c>
      <c r="B243" s="211" t="s">
        <v>2404</v>
      </c>
      <c r="C243" s="211" t="s">
        <v>1873</v>
      </c>
      <c r="D243" s="215">
        <v>12</v>
      </c>
      <c r="E243" s="211"/>
      <c r="F243" s="211"/>
      <c r="G243" s="211"/>
      <c r="H243" s="210">
        <v>39554</v>
      </c>
      <c r="I243" s="197" t="str">
        <f t="shared" si="3"/>
        <v>FILL (GRANULAR)</v>
      </c>
    </row>
    <row r="244" spans="1:9">
      <c r="A244" s="213" t="s">
        <v>2403</v>
      </c>
      <c r="B244" s="211" t="s">
        <v>2402</v>
      </c>
      <c r="C244" s="211" t="s">
        <v>1873</v>
      </c>
      <c r="D244" s="215">
        <v>45</v>
      </c>
      <c r="E244" s="211"/>
      <c r="F244" s="211"/>
      <c r="G244" s="211"/>
      <c r="H244" s="210">
        <v>39554</v>
      </c>
      <c r="I244" s="197" t="str">
        <f t="shared" si="3"/>
        <v>CONCRETE REMOVAL, REINFORCED</v>
      </c>
    </row>
    <row r="245" spans="1:9">
      <c r="A245" s="213" t="s">
        <v>2401</v>
      </c>
      <c r="B245" s="211" t="s">
        <v>2400</v>
      </c>
      <c r="C245" s="211" t="s">
        <v>1873</v>
      </c>
      <c r="D245" s="212">
        <v>350</v>
      </c>
      <c r="E245" s="211"/>
      <c r="F245" s="211"/>
      <c r="G245" s="211"/>
      <c r="H245" s="210">
        <v>39554</v>
      </c>
      <c r="I245" s="197" t="str">
        <f t="shared" si="3"/>
        <v>CONCRETE (CLASS X)  REINFORCED</v>
      </c>
    </row>
    <row r="246" spans="1:9" ht="14.4">
      <c r="A246" s="213" t="s">
        <v>2399</v>
      </c>
      <c r="B246" s="211" t="s">
        <v>2398</v>
      </c>
      <c r="C246" s="211" t="s">
        <v>1873</v>
      </c>
      <c r="D246" s="219">
        <v>17</v>
      </c>
      <c r="E246" s="211"/>
      <c r="F246" s="211"/>
      <c r="G246" s="211"/>
      <c r="H246" s="217">
        <v>40878</v>
      </c>
      <c r="I246" s="197" t="str">
        <f t="shared" si="3"/>
        <v>RIP RAP (DUMPED)</v>
      </c>
    </row>
    <row r="247" spans="1:9" ht="14.4">
      <c r="A247" s="213" t="s">
        <v>2397</v>
      </c>
      <c r="B247" s="211" t="s">
        <v>2396</v>
      </c>
      <c r="C247" s="211" t="s">
        <v>1873</v>
      </c>
      <c r="D247" s="219">
        <v>53</v>
      </c>
      <c r="E247" s="211"/>
      <c r="F247" s="211"/>
      <c r="G247" s="211"/>
      <c r="H247" s="217">
        <v>40878</v>
      </c>
      <c r="I247" s="197" t="str">
        <f t="shared" si="3"/>
        <v>RIP RAP (GROUTED)</v>
      </c>
    </row>
    <row r="248" spans="1:9" ht="14.4">
      <c r="A248" s="213" t="s">
        <v>2395</v>
      </c>
      <c r="B248" s="211" t="s">
        <v>2394</v>
      </c>
      <c r="C248" s="211" t="s">
        <v>1873</v>
      </c>
      <c r="D248" s="215">
        <v>30</v>
      </c>
      <c r="E248" s="211"/>
      <c r="F248" s="211"/>
      <c r="G248" s="211"/>
      <c r="H248" s="217">
        <v>39554</v>
      </c>
      <c r="I248" s="197" t="str">
        <f t="shared" si="3"/>
        <v>SLOPE PROTECTION (PLACED)</v>
      </c>
    </row>
    <row r="249" spans="1:9" ht="26.4">
      <c r="A249" s="213" t="s">
        <v>2393</v>
      </c>
      <c r="B249" s="211" t="s">
        <v>2392</v>
      </c>
      <c r="C249" s="211" t="s">
        <v>1873</v>
      </c>
      <c r="D249" s="212">
        <v>150</v>
      </c>
      <c r="E249" s="211"/>
      <c r="F249" s="211"/>
      <c r="G249" s="211"/>
      <c r="H249" s="210">
        <v>39554</v>
      </c>
      <c r="I249" s="197" t="str">
        <f t="shared" si="3"/>
        <v>CONCRETE CHANNEL LINING (REINFORCED)</v>
      </c>
    </row>
    <row r="250" spans="1:9">
      <c r="A250" s="213" t="s">
        <v>2391</v>
      </c>
      <c r="B250" s="211" t="s">
        <v>2390</v>
      </c>
      <c r="C250" s="211" t="s">
        <v>1873</v>
      </c>
      <c r="D250" s="212">
        <v>120</v>
      </c>
      <c r="E250" s="211"/>
      <c r="F250" s="211"/>
      <c r="G250" s="211"/>
      <c r="H250" s="210">
        <v>39554</v>
      </c>
      <c r="I250" s="197" t="str">
        <f t="shared" si="3"/>
        <v>ROCK &amp; WIRE BASKETS (GABIONS)</v>
      </c>
    </row>
    <row r="251" spans="1:9">
      <c r="A251" s="213" t="s">
        <v>2389</v>
      </c>
      <c r="B251" s="211" t="s">
        <v>2388</v>
      </c>
      <c r="C251" s="211" t="s">
        <v>1873</v>
      </c>
      <c r="D251" s="212">
        <v>3</v>
      </c>
      <c r="E251" s="211"/>
      <c r="F251" s="211"/>
      <c r="G251" s="211"/>
      <c r="H251" s="210">
        <v>39554</v>
      </c>
      <c r="I251" s="197" t="str">
        <f t="shared" si="3"/>
        <v>GABION BASKET REMOVAL</v>
      </c>
    </row>
    <row r="252" spans="1:9">
      <c r="A252" s="213" t="s">
        <v>2387</v>
      </c>
      <c r="B252" s="211" t="s">
        <v>2386</v>
      </c>
      <c r="C252" s="211" t="s">
        <v>1873</v>
      </c>
      <c r="D252" s="212">
        <v>12</v>
      </c>
      <c r="E252" s="211"/>
      <c r="F252" s="211"/>
      <c r="G252" s="211"/>
      <c r="H252" s="210">
        <v>39554</v>
      </c>
      <c r="I252" s="197" t="str">
        <f t="shared" si="3"/>
        <v>FILTER BLANKET (PEA GRAVEL)</v>
      </c>
    </row>
    <row r="253" spans="1:9">
      <c r="A253" s="213" t="s">
        <v>2385</v>
      </c>
      <c r="B253" s="211" t="s">
        <v>2384</v>
      </c>
      <c r="C253" s="211" t="s">
        <v>1873</v>
      </c>
      <c r="D253" s="212">
        <v>35</v>
      </c>
      <c r="E253" s="211"/>
      <c r="F253" s="211"/>
      <c r="G253" s="211"/>
      <c r="H253" s="210">
        <v>39554</v>
      </c>
      <c r="I253" s="197" t="str">
        <f t="shared" si="3"/>
        <v>RIP RAP REPAIR OF FABRIC FILTER</v>
      </c>
    </row>
    <row r="254" spans="1:9">
      <c r="A254" s="213" t="s">
        <v>2383</v>
      </c>
      <c r="B254" s="211" t="s">
        <v>2382</v>
      </c>
      <c r="C254" s="211" t="s">
        <v>1885</v>
      </c>
      <c r="D254" s="212">
        <v>1.5</v>
      </c>
      <c r="E254" s="211"/>
      <c r="F254" s="211"/>
      <c r="G254" s="211"/>
      <c r="H254" s="210">
        <v>39554</v>
      </c>
      <c r="I254" s="197" t="str">
        <f t="shared" si="3"/>
        <v>RIP RAP  FABRIC FOR UNDER</v>
      </c>
    </row>
    <row r="255" spans="1:9">
      <c r="A255" s="213">
        <v>4140</v>
      </c>
      <c r="B255" s="211" t="s">
        <v>2379</v>
      </c>
      <c r="C255" s="211" t="s">
        <v>2381</v>
      </c>
      <c r="D255" s="215">
        <v>6.5</v>
      </c>
      <c r="E255" s="211"/>
      <c r="F255" s="211"/>
      <c r="G255" s="211"/>
      <c r="H255" s="210">
        <v>39554</v>
      </c>
      <c r="I255" s="197" t="str">
        <f t="shared" si="3"/>
        <v>AGGREGATE SURFACE MATERIAL</v>
      </c>
    </row>
    <row r="256" spans="1:9">
      <c r="A256" s="213" t="s">
        <v>2380</v>
      </c>
      <c r="B256" s="211" t="s">
        <v>2379</v>
      </c>
      <c r="C256" s="211" t="s">
        <v>1873</v>
      </c>
      <c r="D256" s="212">
        <v>13</v>
      </c>
      <c r="E256" s="211"/>
      <c r="F256" s="211"/>
      <c r="G256" s="211"/>
      <c r="H256" s="210">
        <v>39554</v>
      </c>
      <c r="I256" s="197" t="str">
        <f t="shared" si="3"/>
        <v>AGGREGATE SURFACE MATERIAL</v>
      </c>
    </row>
    <row r="257" spans="1:9">
      <c r="A257" s="213" t="s">
        <v>2378</v>
      </c>
      <c r="B257" s="211" t="s">
        <v>2377</v>
      </c>
      <c r="C257" s="211" t="s">
        <v>1834</v>
      </c>
      <c r="D257" s="212">
        <v>0.65</v>
      </c>
      <c r="E257" s="211"/>
      <c r="F257" s="211"/>
      <c r="G257" s="211"/>
      <c r="H257" s="210">
        <v>39554</v>
      </c>
      <c r="I257" s="197" t="str">
        <f t="shared" si="3"/>
        <v>AUGERING (DRAIN TILE)</v>
      </c>
    </row>
    <row r="258" spans="1:9" ht="26.4">
      <c r="A258" s="213" t="s">
        <v>2376</v>
      </c>
      <c r="B258" s="211" t="s">
        <v>2375</v>
      </c>
      <c r="C258" s="211" t="s">
        <v>1876</v>
      </c>
      <c r="D258" s="212">
        <v>0.4</v>
      </c>
      <c r="E258" s="211"/>
      <c r="F258" s="211"/>
      <c r="G258" s="211"/>
      <c r="H258" s="210">
        <v>39554</v>
      </c>
      <c r="I258" s="197" t="str">
        <f t="shared" si="3"/>
        <v>DEBRIS - INTERIOR  REMOVAL AND WALL &amp; FLOOR CLEANING</v>
      </c>
    </row>
    <row r="259" spans="1:9">
      <c r="A259" s="213" t="s">
        <v>2374</v>
      </c>
      <c r="B259" s="211" t="s">
        <v>2373</v>
      </c>
      <c r="C259" s="211" t="s">
        <v>1876</v>
      </c>
      <c r="D259" s="212">
        <v>0.5</v>
      </c>
      <c r="E259" s="211"/>
      <c r="F259" s="211"/>
      <c r="G259" s="211"/>
      <c r="H259" s="210">
        <v>39554</v>
      </c>
      <c r="I259" s="197" t="str">
        <f t="shared" si="3"/>
        <v>FLOOR  TILE  REMOVAL</v>
      </c>
    </row>
    <row r="260" spans="1:9">
      <c r="A260" s="213" t="s">
        <v>2372</v>
      </c>
      <c r="B260" s="211" t="s">
        <v>2371</v>
      </c>
      <c r="C260" s="211" t="s">
        <v>1885</v>
      </c>
      <c r="D260" s="212">
        <v>1</v>
      </c>
      <c r="E260" s="211"/>
      <c r="F260" s="211"/>
      <c r="G260" s="211"/>
      <c r="H260" s="210">
        <v>39554</v>
      </c>
      <c r="I260" s="197" t="str">
        <f t="shared" ref="I260:I323" si="4">IF(B260="","",B260)</f>
        <v>CARPET REMOVAL</v>
      </c>
    </row>
    <row r="261" spans="1:9" ht="14.4">
      <c r="A261" s="213" t="s">
        <v>2370</v>
      </c>
      <c r="B261" s="211" t="s">
        <v>2369</v>
      </c>
      <c r="C261" s="211" t="s">
        <v>1876</v>
      </c>
      <c r="D261" s="219">
        <v>1.24</v>
      </c>
      <c r="E261" s="211"/>
      <c r="F261" s="211"/>
      <c r="G261" s="211"/>
      <c r="H261" s="217">
        <v>40878</v>
      </c>
      <c r="I261" s="197" t="str">
        <f t="shared" si="4"/>
        <v>CEILING, SUSPENSION SYSTEM (W/O TILE)</v>
      </c>
    </row>
    <row r="262" spans="1:9" ht="14.4">
      <c r="A262" s="213" t="s">
        <v>2368</v>
      </c>
      <c r="B262" s="211" t="s">
        <v>2367</v>
      </c>
      <c r="C262" s="211" t="s">
        <v>1876</v>
      </c>
      <c r="D262" s="219">
        <v>1.63</v>
      </c>
      <c r="E262" s="211"/>
      <c r="F262" s="211"/>
      <c r="G262" s="211"/>
      <c r="H262" s="217">
        <v>40878</v>
      </c>
      <c r="I262" s="197" t="str">
        <f t="shared" si="4"/>
        <v>CELIING TILE, 12 X 12" GLUE</v>
      </c>
    </row>
    <row r="263" spans="1:9" ht="14.4">
      <c r="A263" s="213" t="s">
        <v>2366</v>
      </c>
      <c r="B263" s="211" t="s">
        <v>2365</v>
      </c>
      <c r="C263" s="211" t="s">
        <v>1806</v>
      </c>
      <c r="D263" s="219">
        <v>1.63</v>
      </c>
      <c r="E263" s="211"/>
      <c r="F263" s="211"/>
      <c r="G263" s="211"/>
      <c r="H263" s="217">
        <v>40878</v>
      </c>
      <c r="I263" s="197" t="str">
        <f t="shared" si="4"/>
        <v>CEILING TILE 12 X12" TACKED</v>
      </c>
    </row>
    <row r="264" spans="1:9" ht="14.4">
      <c r="A264" s="213" t="s">
        <v>2364</v>
      </c>
      <c r="B264" s="211" t="s">
        <v>2363</v>
      </c>
      <c r="C264" s="211" t="s">
        <v>1876</v>
      </c>
      <c r="D264" s="219">
        <v>1.24</v>
      </c>
      <c r="E264" s="211"/>
      <c r="F264" s="211"/>
      <c r="G264" s="211"/>
      <c r="H264" s="217">
        <v>40878</v>
      </c>
      <c r="I264" s="197" t="str">
        <f t="shared" si="4"/>
        <v>CEILING TILE, ACCOUSTICAL, 2 X 4'</v>
      </c>
    </row>
    <row r="265" spans="1:9" ht="26.4">
      <c r="A265" s="213" t="s">
        <v>2362</v>
      </c>
      <c r="B265" s="211" t="s">
        <v>2361</v>
      </c>
      <c r="C265" s="211" t="s">
        <v>1876</v>
      </c>
      <c r="D265" s="219">
        <v>2.48</v>
      </c>
      <c r="E265" s="211"/>
      <c r="F265" s="211"/>
      <c r="G265" s="211"/>
      <c r="H265" s="217">
        <v>40878</v>
      </c>
      <c r="I265" s="197" t="str">
        <f t="shared" si="4"/>
        <v>CELING TILE, W/SUSPENDED METAL SYSTEM</v>
      </c>
    </row>
    <row r="266" spans="1:9" ht="14.4">
      <c r="A266" s="213" t="s">
        <v>2360</v>
      </c>
      <c r="B266" s="211" t="s">
        <v>2359</v>
      </c>
      <c r="C266" s="211" t="s">
        <v>1876</v>
      </c>
      <c r="D266" s="219">
        <v>2.17</v>
      </c>
      <c r="E266" s="211"/>
      <c r="F266" s="211"/>
      <c r="G266" s="211"/>
      <c r="H266" s="217">
        <v>40878</v>
      </c>
      <c r="I266" s="197" t="str">
        <f t="shared" si="4"/>
        <v>MASONRY WALL (8") REMOVAL</v>
      </c>
    </row>
    <row r="267" spans="1:9" ht="26.4">
      <c r="A267" s="213" t="s">
        <v>2358</v>
      </c>
      <c r="B267" s="211" t="s">
        <v>2357</v>
      </c>
      <c r="C267" s="211" t="s">
        <v>1834</v>
      </c>
      <c r="D267" s="219">
        <v>1.5</v>
      </c>
      <c r="E267" s="211"/>
      <c r="F267" s="211"/>
      <c r="G267" s="211"/>
      <c r="H267" s="217">
        <v>40878</v>
      </c>
      <c r="I267" s="197" t="str">
        <f t="shared" si="4"/>
        <v>FLOOR  VINYL BASE  REMOVE AND REPLACE</v>
      </c>
    </row>
    <row r="268" spans="1:9" ht="14.4">
      <c r="A268" s="213" t="s">
        <v>2356</v>
      </c>
      <c r="B268" s="211" t="s">
        <v>2355</v>
      </c>
      <c r="C268" s="211" t="s">
        <v>1876</v>
      </c>
      <c r="D268" s="219">
        <v>2.85</v>
      </c>
      <c r="E268" s="211"/>
      <c r="F268" s="211"/>
      <c r="G268" s="211"/>
      <c r="H268" s="217">
        <v>40878</v>
      </c>
      <c r="I268" s="197" t="str">
        <f t="shared" si="4"/>
        <v>FLOOR  TILE  REMOVE AND REPLACE</v>
      </c>
    </row>
    <row r="269" spans="1:9" ht="14.4">
      <c r="A269" s="213" t="s">
        <v>2354</v>
      </c>
      <c r="B269" s="211" t="s">
        <v>2353</v>
      </c>
      <c r="C269" s="211" t="s">
        <v>2304</v>
      </c>
      <c r="D269" s="219">
        <v>125</v>
      </c>
      <c r="E269" s="211"/>
      <c r="F269" s="211"/>
      <c r="G269" s="211"/>
      <c r="H269" s="217">
        <v>40878</v>
      </c>
      <c r="I269" s="197" t="str">
        <f t="shared" si="4"/>
        <v>ROOF  BUILT UP  REPLACE</v>
      </c>
    </row>
    <row r="270" spans="1:9" ht="14.4">
      <c r="A270" s="213" t="s">
        <v>2352</v>
      </c>
      <c r="B270" s="211" t="s">
        <v>2351</v>
      </c>
      <c r="C270" s="211" t="s">
        <v>2304</v>
      </c>
      <c r="D270" s="218">
        <v>145</v>
      </c>
      <c r="E270" s="211"/>
      <c r="F270" s="211"/>
      <c r="G270" s="211"/>
      <c r="H270" s="217">
        <v>40878</v>
      </c>
      <c r="I270" s="197" t="str">
        <f t="shared" si="4"/>
        <v>ROOF BUILT-UP, 3-PLY W/GRAVEL</v>
      </c>
    </row>
    <row r="271" spans="1:9" ht="14.4">
      <c r="A271" s="213" t="s">
        <v>2350</v>
      </c>
      <c r="B271" s="211" t="s">
        <v>2349</v>
      </c>
      <c r="C271" s="211" t="s">
        <v>2304</v>
      </c>
      <c r="D271" s="218">
        <v>262</v>
      </c>
      <c r="E271" s="211"/>
      <c r="F271" s="211"/>
      <c r="G271" s="211"/>
      <c r="H271" s="217">
        <v>40878</v>
      </c>
      <c r="I271" s="197" t="str">
        <f t="shared" si="4"/>
        <v>ROOF, BUILT-UP, 4-PLY W/INSULATION</v>
      </c>
    </row>
    <row r="272" spans="1:9" ht="14.4">
      <c r="A272" s="213" t="s">
        <v>2348</v>
      </c>
      <c r="B272" s="211" t="s">
        <v>2347</v>
      </c>
      <c r="C272" s="211" t="s">
        <v>2304</v>
      </c>
      <c r="D272" s="218">
        <v>137</v>
      </c>
      <c r="E272" s="211"/>
      <c r="F272" s="211"/>
      <c r="G272" s="211"/>
      <c r="H272" s="217">
        <v>40878</v>
      </c>
      <c r="I272" s="197" t="str">
        <f t="shared" si="4"/>
        <v>ROOF, BUILT-UP 4-PLY</v>
      </c>
    </row>
    <row r="273" spans="1:9">
      <c r="A273" s="213" t="s">
        <v>2346</v>
      </c>
      <c r="B273" s="211" t="s">
        <v>2345</v>
      </c>
      <c r="C273" s="211" t="s">
        <v>2304</v>
      </c>
      <c r="D273" s="212">
        <v>190</v>
      </c>
      <c r="E273" s="211"/>
      <c r="F273" s="211"/>
      <c r="G273" s="211"/>
      <c r="H273" s="210">
        <v>39462</v>
      </c>
      <c r="I273" s="197" t="str">
        <f t="shared" si="4"/>
        <v>ROOF, FIBERGLASS CORRUGATED PANELS</v>
      </c>
    </row>
    <row r="274" spans="1:9" ht="26.4">
      <c r="A274" s="213" t="s">
        <v>2344</v>
      </c>
      <c r="B274" s="211" t="s">
        <v>2343</v>
      </c>
      <c r="C274" s="211" t="s">
        <v>2304</v>
      </c>
      <c r="D274" s="218">
        <v>166</v>
      </c>
      <c r="E274" s="211"/>
      <c r="F274" s="211"/>
      <c r="G274" s="211"/>
      <c r="H274" s="217">
        <v>40878</v>
      </c>
      <c r="I274" s="197" t="str">
        <f t="shared" si="4"/>
        <v>ROOF, METAL CORRUGATED STEEL, GALVANIZED</v>
      </c>
    </row>
    <row r="275" spans="1:9" ht="14.4">
      <c r="A275" s="213" t="s">
        <v>2342</v>
      </c>
      <c r="B275" s="211" t="s">
        <v>2341</v>
      </c>
      <c r="C275" s="211" t="s">
        <v>2304</v>
      </c>
      <c r="D275" s="218">
        <v>78</v>
      </c>
      <c r="E275" s="211"/>
      <c r="F275" s="211"/>
      <c r="G275" s="211"/>
      <c r="H275" s="217">
        <v>40878</v>
      </c>
      <c r="I275" s="197" t="str">
        <f t="shared" si="4"/>
        <v>ROOF, ROLL W/FLASHING</v>
      </c>
    </row>
    <row r="276" spans="1:9">
      <c r="A276" s="213" t="s">
        <v>2340</v>
      </c>
      <c r="B276" s="211" t="s">
        <v>2339</v>
      </c>
      <c r="C276" s="211" t="s">
        <v>1834</v>
      </c>
      <c r="D276" s="212">
        <v>3.35</v>
      </c>
      <c r="E276" s="211"/>
      <c r="F276" s="211"/>
      <c r="G276" s="211"/>
      <c r="H276" s="210">
        <v>39468</v>
      </c>
      <c r="I276" s="197" t="str">
        <f t="shared" si="4"/>
        <v>ROOF CAP, GALVANIZED</v>
      </c>
    </row>
    <row r="277" spans="1:9" ht="14.4">
      <c r="A277" s="213" t="s">
        <v>2338</v>
      </c>
      <c r="B277" s="211" t="s">
        <v>2337</v>
      </c>
      <c r="C277" s="211" t="s">
        <v>1876</v>
      </c>
      <c r="D277" s="218">
        <v>1.1499999999999999</v>
      </c>
      <c r="E277" s="211"/>
      <c r="F277" s="211"/>
      <c r="G277" s="211"/>
      <c r="H277" s="217">
        <v>40878</v>
      </c>
      <c r="I277" s="197" t="str">
        <f t="shared" si="4"/>
        <v>ROOF DECKING, 1"X 6"</v>
      </c>
    </row>
    <row r="278" spans="1:9" ht="14.4">
      <c r="A278" s="213" t="s">
        <v>2336</v>
      </c>
      <c r="B278" s="211" t="s">
        <v>2335</v>
      </c>
      <c r="C278" s="211" t="s">
        <v>1876</v>
      </c>
      <c r="D278" s="218">
        <v>0.87</v>
      </c>
      <c r="E278" s="211"/>
      <c r="F278" s="211"/>
      <c r="G278" s="211"/>
      <c r="H278" s="217">
        <v>40878</v>
      </c>
      <c r="I278" s="197" t="str">
        <f t="shared" si="4"/>
        <v>ROOF DECKING, 1/2" PLYWOOD SHEATHING</v>
      </c>
    </row>
    <row r="279" spans="1:9" ht="14.4">
      <c r="A279" s="213" t="s">
        <v>2334</v>
      </c>
      <c r="B279" s="211" t="s">
        <v>2333</v>
      </c>
      <c r="C279" s="211" t="s">
        <v>2332</v>
      </c>
      <c r="D279" s="219">
        <v>125</v>
      </c>
      <c r="E279" s="211"/>
      <c r="F279" s="211"/>
      <c r="G279" s="211"/>
      <c r="H279" s="217">
        <v>40878</v>
      </c>
      <c r="I279" s="197" t="str">
        <f t="shared" si="4"/>
        <v>SHINGLES  ALPHALT  REPLACE</v>
      </c>
    </row>
    <row r="280" spans="1:9">
      <c r="A280" s="213" t="s">
        <v>2331</v>
      </c>
      <c r="B280" s="211" t="s">
        <v>2330</v>
      </c>
      <c r="C280" s="211" t="s">
        <v>1806</v>
      </c>
      <c r="D280" s="215">
        <v>22</v>
      </c>
      <c r="E280" s="211"/>
      <c r="F280" s="211"/>
      <c r="G280" s="211"/>
      <c r="H280" s="210">
        <v>39462</v>
      </c>
      <c r="I280" s="197" t="str">
        <f t="shared" si="4"/>
        <v>ROOF VENTS, MUSHROOM (FOR BUILT-UP)</v>
      </c>
    </row>
    <row r="281" spans="1:9">
      <c r="A281" s="216" t="s">
        <v>2329</v>
      </c>
      <c r="B281" s="214" t="s">
        <v>2252</v>
      </c>
      <c r="C281" s="214" t="s">
        <v>1876</v>
      </c>
      <c r="D281" s="215">
        <v>0.48</v>
      </c>
      <c r="E281" s="214"/>
      <c r="F281" s="214"/>
      <c r="G281" s="214"/>
      <c r="H281" s="210">
        <v>39462</v>
      </c>
      <c r="I281" s="197" t="str">
        <f t="shared" si="4"/>
        <v>DRYWALL, PAINT 2 COATS</v>
      </c>
    </row>
    <row r="282" spans="1:9">
      <c r="A282" s="216" t="s">
        <v>2328</v>
      </c>
      <c r="B282" s="214" t="s">
        <v>2327</v>
      </c>
      <c r="C282" s="214" t="s">
        <v>1885</v>
      </c>
      <c r="D282" s="215">
        <v>5.4</v>
      </c>
      <c r="E282" s="214"/>
      <c r="F282" s="214"/>
      <c r="G282" s="214"/>
      <c r="H282" s="210">
        <v>39462</v>
      </c>
      <c r="I282" s="197" t="str">
        <f t="shared" si="4"/>
        <v>DRYWALL, PLASTER REMOVAL</v>
      </c>
    </row>
    <row r="283" spans="1:9">
      <c r="A283" s="213" t="s">
        <v>2326</v>
      </c>
      <c r="B283" s="211" t="s">
        <v>2325</v>
      </c>
      <c r="C283" s="211" t="s">
        <v>1806</v>
      </c>
      <c r="D283" s="212">
        <v>10</v>
      </c>
      <c r="E283" s="211"/>
      <c r="F283" s="211"/>
      <c r="G283" s="211"/>
      <c r="H283" s="210">
        <v>39462</v>
      </c>
      <c r="I283" s="197" t="str">
        <f t="shared" si="4"/>
        <v>ROOF VENTS,  4" METAL ROUND</v>
      </c>
    </row>
    <row r="284" spans="1:9">
      <c r="A284" s="213" t="s">
        <v>2324</v>
      </c>
      <c r="B284" s="211" t="s">
        <v>2323</v>
      </c>
      <c r="C284" s="211" t="s">
        <v>1806</v>
      </c>
      <c r="D284" s="212">
        <v>110</v>
      </c>
      <c r="E284" s="211"/>
      <c r="F284" s="211"/>
      <c r="G284" s="211"/>
      <c r="H284" s="210">
        <v>39462</v>
      </c>
      <c r="I284" s="197" t="str">
        <f t="shared" si="4"/>
        <v>ROOF VENTS, TURBINE, 10' THROAT</v>
      </c>
    </row>
    <row r="285" spans="1:9">
      <c r="A285" s="213" t="s">
        <v>2322</v>
      </c>
      <c r="B285" s="211" t="s">
        <v>2321</v>
      </c>
      <c r="C285" s="211" t="s">
        <v>1806</v>
      </c>
      <c r="D285" s="212">
        <v>120</v>
      </c>
      <c r="E285" s="211"/>
      <c r="F285" s="211"/>
      <c r="G285" s="211"/>
      <c r="H285" s="210">
        <v>39462</v>
      </c>
      <c r="I285" s="197" t="str">
        <f t="shared" si="4"/>
        <v>ROOF VENTS, TURBINE 12' THROAT</v>
      </c>
    </row>
    <row r="286" spans="1:9" ht="14.4">
      <c r="A286" s="213" t="s">
        <v>2320</v>
      </c>
      <c r="B286" s="211" t="s">
        <v>2319</v>
      </c>
      <c r="C286" s="211" t="s">
        <v>2304</v>
      </c>
      <c r="D286" s="219">
        <v>250</v>
      </c>
      <c r="E286" s="211"/>
      <c r="F286" s="211"/>
      <c r="G286" s="211"/>
      <c r="H286" s="217">
        <v>40878</v>
      </c>
      <c r="I286" s="197" t="str">
        <f t="shared" si="4"/>
        <v>SHINGLES, CEDAR</v>
      </c>
    </row>
    <row r="287" spans="1:9" ht="14.4">
      <c r="A287" s="213" t="s">
        <v>2318</v>
      </c>
      <c r="B287" s="211" t="s">
        <v>2317</v>
      </c>
      <c r="C287" s="211" t="s">
        <v>1876</v>
      </c>
      <c r="D287" s="219">
        <v>2.0499999999999998</v>
      </c>
      <c r="E287" s="211"/>
      <c r="F287" s="211"/>
      <c r="G287" s="211"/>
      <c r="H287" s="217">
        <v>40878</v>
      </c>
      <c r="I287" s="197" t="str">
        <f t="shared" si="4"/>
        <v>FLASHING REPLACEMENT</v>
      </c>
    </row>
    <row r="288" spans="1:9">
      <c r="A288" s="213" t="s">
        <v>2316</v>
      </c>
      <c r="B288" s="211" t="s">
        <v>2315</v>
      </c>
      <c r="C288" s="211" t="s">
        <v>1876</v>
      </c>
      <c r="D288" s="212">
        <v>2.15</v>
      </c>
      <c r="E288" s="211"/>
      <c r="F288" s="211"/>
      <c r="G288" s="211"/>
      <c r="H288" s="210">
        <v>39469</v>
      </c>
      <c r="I288" s="197" t="str">
        <f t="shared" si="4"/>
        <v>FLASHING, VALLEY</v>
      </c>
    </row>
    <row r="289" spans="1:9">
      <c r="A289" s="213" t="s">
        <v>2314</v>
      </c>
      <c r="B289" s="211" t="s">
        <v>2313</v>
      </c>
      <c r="C289" s="211" t="s">
        <v>1876</v>
      </c>
      <c r="D289" s="212">
        <v>2.15</v>
      </c>
      <c r="E289" s="211"/>
      <c r="F289" s="211"/>
      <c r="G289" s="211"/>
      <c r="H289" s="210">
        <v>39469</v>
      </c>
      <c r="I289" s="197" t="str">
        <f t="shared" si="4"/>
        <v>FLASHING, WALL</v>
      </c>
    </row>
    <row r="290" spans="1:9" ht="14.4">
      <c r="A290" s="213" t="s">
        <v>2312</v>
      </c>
      <c r="B290" s="211" t="s">
        <v>2311</v>
      </c>
      <c r="C290" s="211" t="s">
        <v>2304</v>
      </c>
      <c r="D290" s="219">
        <v>125</v>
      </c>
      <c r="E290" s="211"/>
      <c r="F290" s="211"/>
      <c r="G290" s="211"/>
      <c r="H290" s="217">
        <v>40878</v>
      </c>
      <c r="I290" s="197" t="str">
        <f t="shared" si="4"/>
        <v>SHINGLES, FIBERGLASS</v>
      </c>
    </row>
    <row r="291" spans="1:9" ht="14.4">
      <c r="A291" s="213" t="s">
        <v>2310</v>
      </c>
      <c r="B291" s="211" t="s">
        <v>2309</v>
      </c>
      <c r="C291" s="211" t="s">
        <v>2304</v>
      </c>
      <c r="D291" s="212">
        <v>360</v>
      </c>
      <c r="E291" s="211"/>
      <c r="F291" s="211"/>
      <c r="G291" s="211"/>
      <c r="H291" s="217">
        <v>39462</v>
      </c>
      <c r="I291" s="197" t="str">
        <f t="shared" si="4"/>
        <v>SHINGLES, SLATE (MANUFACTURED)</v>
      </c>
    </row>
    <row r="292" spans="1:9" ht="14.4">
      <c r="A292" s="213" t="s">
        <v>2308</v>
      </c>
      <c r="B292" s="211" t="s">
        <v>2307</v>
      </c>
      <c r="C292" s="211" t="s">
        <v>2304</v>
      </c>
      <c r="D292" s="219">
        <v>365</v>
      </c>
      <c r="E292" s="211"/>
      <c r="F292" s="211"/>
      <c r="G292" s="211"/>
      <c r="H292" s="217">
        <v>40878</v>
      </c>
      <c r="I292" s="197" t="str">
        <f t="shared" si="4"/>
        <v>SHINGLES, TERRACOTTA</v>
      </c>
    </row>
    <row r="293" spans="1:9" ht="14.4">
      <c r="A293" s="213" t="s">
        <v>2306</v>
      </c>
      <c r="B293" s="211" t="s">
        <v>2305</v>
      </c>
      <c r="C293" s="211" t="s">
        <v>2304</v>
      </c>
      <c r="D293" s="219">
        <v>255</v>
      </c>
      <c r="E293" s="211"/>
      <c r="F293" s="211"/>
      <c r="G293" s="211"/>
      <c r="H293" s="217">
        <v>40878</v>
      </c>
      <c r="I293" s="197" t="str">
        <f t="shared" si="4"/>
        <v>SIDING, ALUMINUM</v>
      </c>
    </row>
    <row r="294" spans="1:9" ht="14.4">
      <c r="A294" s="213" t="s">
        <v>2303</v>
      </c>
      <c r="B294" s="211" t="s">
        <v>2302</v>
      </c>
      <c r="C294" s="211" t="s">
        <v>1876</v>
      </c>
      <c r="D294" s="219">
        <v>2.5499999999999998</v>
      </c>
      <c r="E294" s="211"/>
      <c r="F294" s="211"/>
      <c r="G294" s="211"/>
      <c r="H294" s="217">
        <v>40878</v>
      </c>
      <c r="I294" s="197" t="str">
        <f t="shared" si="4"/>
        <v>SIDING, ALUMINUM (HORIZONTAL) 7"</v>
      </c>
    </row>
    <row r="295" spans="1:9">
      <c r="A295" s="213" t="s">
        <v>2301</v>
      </c>
      <c r="B295" s="211" t="s">
        <v>2300</v>
      </c>
      <c r="C295" s="211" t="s">
        <v>1876</v>
      </c>
      <c r="D295" s="215">
        <v>3.14</v>
      </c>
      <c r="E295" s="211"/>
      <c r="F295" s="211"/>
      <c r="G295" s="211"/>
      <c r="H295" s="210" t="s">
        <v>2026</v>
      </c>
      <c r="I295" s="197" t="str">
        <f t="shared" si="4"/>
        <v>SIDING, BOARD &amp; BATTEN</v>
      </c>
    </row>
    <row r="296" spans="1:9" ht="14.4">
      <c r="A296" s="213" t="s">
        <v>2299</v>
      </c>
      <c r="B296" s="211" t="s">
        <v>2298</v>
      </c>
      <c r="C296" s="211" t="s">
        <v>1834</v>
      </c>
      <c r="D296" s="219">
        <v>1.95</v>
      </c>
      <c r="E296" s="211"/>
      <c r="F296" s="211"/>
      <c r="G296" s="211"/>
      <c r="H296" s="217">
        <v>40878</v>
      </c>
      <c r="I296" s="197" t="str">
        <f t="shared" si="4"/>
        <v>SIDING, FACIA BOARD</v>
      </c>
    </row>
    <row r="297" spans="1:9" ht="26.4">
      <c r="A297" s="213" t="s">
        <v>2297</v>
      </c>
      <c r="B297" s="211" t="s">
        <v>2296</v>
      </c>
      <c r="C297" s="211" t="s">
        <v>1876</v>
      </c>
      <c r="D297" s="219">
        <v>1.59</v>
      </c>
      <c r="E297" s="211"/>
      <c r="F297" s="211"/>
      <c r="G297" s="211"/>
      <c r="H297" s="217">
        <v>40878</v>
      </c>
      <c r="I297" s="197" t="str">
        <f t="shared" si="4"/>
        <v>MASONRY SURFACE  BRICK  SANDBLAST CLEANING</v>
      </c>
    </row>
    <row r="298" spans="1:9">
      <c r="A298" s="213" t="s">
        <v>2295</v>
      </c>
      <c r="B298" s="211" t="s">
        <v>2294</v>
      </c>
      <c r="C298" s="211" t="s">
        <v>1876</v>
      </c>
      <c r="D298" s="215">
        <v>1.65</v>
      </c>
      <c r="E298" s="211"/>
      <c r="F298" s="211"/>
      <c r="G298" s="211"/>
      <c r="H298" s="210" t="s">
        <v>2026</v>
      </c>
      <c r="I298" s="197" t="str">
        <f t="shared" si="4"/>
        <v>SIDING, SHIP LAP</v>
      </c>
    </row>
    <row r="299" spans="1:9">
      <c r="A299" s="213" t="s">
        <v>2293</v>
      </c>
      <c r="B299" s="211" t="s">
        <v>2292</v>
      </c>
      <c r="C299" s="211" t="s">
        <v>1876</v>
      </c>
      <c r="D299" s="215">
        <v>1.85</v>
      </c>
      <c r="E299" s="211"/>
      <c r="F299" s="211"/>
      <c r="G299" s="211"/>
      <c r="H299" s="210" t="s">
        <v>2026</v>
      </c>
      <c r="I299" s="197" t="str">
        <f t="shared" si="4"/>
        <v>SIDING, SOFFIT WOOD</v>
      </c>
    </row>
    <row r="300" spans="1:9">
      <c r="A300" s="213" t="s">
        <v>2291</v>
      </c>
      <c r="B300" s="211" t="s">
        <v>2290</v>
      </c>
      <c r="C300" s="211" t="s">
        <v>1876</v>
      </c>
      <c r="D300" s="215">
        <v>1.7</v>
      </c>
      <c r="E300" s="211"/>
      <c r="F300" s="211"/>
      <c r="G300" s="211"/>
      <c r="H300" s="210" t="s">
        <v>2026</v>
      </c>
      <c r="I300" s="197" t="str">
        <f t="shared" si="4"/>
        <v>SIDING, VINYL</v>
      </c>
    </row>
    <row r="301" spans="1:9" ht="26.4">
      <c r="A301" s="213" t="s">
        <v>2289</v>
      </c>
      <c r="B301" s="211" t="s">
        <v>2288</v>
      </c>
      <c r="C301" s="211" t="s">
        <v>1876</v>
      </c>
      <c r="D301" s="212">
        <v>0.96</v>
      </c>
      <c r="E301" s="211"/>
      <c r="F301" s="211"/>
      <c r="G301" s="211"/>
      <c r="H301" s="210">
        <v>39554</v>
      </c>
      <c r="I301" s="197" t="str">
        <f t="shared" si="4"/>
        <v>MASONRY SURFACE  BRICK  STEAM CLEANING</v>
      </c>
    </row>
    <row r="302" spans="1:9">
      <c r="A302" s="213" t="s">
        <v>2287</v>
      </c>
      <c r="B302" s="211" t="s">
        <v>2286</v>
      </c>
      <c r="C302" s="211" t="s">
        <v>1885</v>
      </c>
      <c r="D302" s="212">
        <v>0.5</v>
      </c>
      <c r="E302" s="211"/>
      <c r="F302" s="211"/>
      <c r="G302" s="211"/>
      <c r="H302" s="210">
        <v>39554</v>
      </c>
      <c r="I302" s="197" t="str">
        <f t="shared" si="4"/>
        <v>CARPET  CLEANING</v>
      </c>
    </row>
    <row r="303" spans="1:9" ht="26.4">
      <c r="A303" s="213" t="s">
        <v>2285</v>
      </c>
      <c r="B303" s="211" t="s">
        <v>2284</v>
      </c>
      <c r="C303" s="211" t="s">
        <v>1806</v>
      </c>
      <c r="D303" s="212">
        <v>75</v>
      </c>
      <c r="E303" s="211"/>
      <c r="F303" s="211"/>
      <c r="G303" s="211"/>
      <c r="H303" s="210">
        <v>39554</v>
      </c>
      <c r="I303" s="197" t="str">
        <f t="shared" si="4"/>
        <v>FURNITURE/METAL - CLEAN DISINFECT &amp; REPAIR</v>
      </c>
    </row>
    <row r="304" spans="1:9" ht="26.4">
      <c r="A304" s="213" t="s">
        <v>2283</v>
      </c>
      <c r="B304" s="211" t="s">
        <v>2282</v>
      </c>
      <c r="C304" s="211" t="s">
        <v>1806</v>
      </c>
      <c r="D304" s="215">
        <v>75</v>
      </c>
      <c r="E304" s="211"/>
      <c r="F304" s="211"/>
      <c r="G304" s="211"/>
      <c r="H304" s="217">
        <v>40878</v>
      </c>
      <c r="I304" s="197" t="str">
        <f t="shared" si="4"/>
        <v>MOTOR REPAIR  ELECTRIC (1/2 HP), ALLOWANCE</v>
      </c>
    </row>
    <row r="305" spans="1:9" ht="26.4">
      <c r="A305" s="213" t="s">
        <v>2281</v>
      </c>
      <c r="B305" s="211" t="s">
        <v>2280</v>
      </c>
      <c r="C305" s="211" t="s">
        <v>1806</v>
      </c>
      <c r="D305" s="215">
        <v>290</v>
      </c>
      <c r="E305" s="211"/>
      <c r="F305" s="211"/>
      <c r="G305" s="211"/>
      <c r="H305" s="210">
        <v>39554</v>
      </c>
      <c r="I305" s="197" t="str">
        <f t="shared" si="4"/>
        <v>MOTOR REPAIR  ELECTRIC (7 1/2 HP), ALLOWANCE</v>
      </c>
    </row>
    <row r="306" spans="1:9" ht="26.4">
      <c r="A306" s="213" t="s">
        <v>2279</v>
      </c>
      <c r="B306" s="211" t="s">
        <v>2278</v>
      </c>
      <c r="C306" s="211" t="s">
        <v>1806</v>
      </c>
      <c r="D306" s="215">
        <v>625</v>
      </c>
      <c r="E306" s="211"/>
      <c r="F306" s="211"/>
      <c r="G306" s="211"/>
      <c r="H306" s="210">
        <v>39554</v>
      </c>
      <c r="I306" s="197" t="str">
        <f t="shared" si="4"/>
        <v>MOTOR REPAIR  ELECTRIC (16 HP), ALLOWANCE</v>
      </c>
    </row>
    <row r="307" spans="1:9" ht="26.4">
      <c r="A307" s="213" t="s">
        <v>2277</v>
      </c>
      <c r="B307" s="211" t="s">
        <v>2276</v>
      </c>
      <c r="C307" s="211" t="s">
        <v>1806</v>
      </c>
      <c r="D307" s="215">
        <v>750</v>
      </c>
      <c r="E307" s="211"/>
      <c r="F307" s="211"/>
      <c r="G307" s="211"/>
      <c r="H307" s="210">
        <v>39554</v>
      </c>
      <c r="I307" s="197" t="str">
        <f t="shared" si="4"/>
        <v>MOTOR REPAIR  ELECTRIC (30 HP), ALLOWANCE</v>
      </c>
    </row>
    <row r="308" spans="1:9" ht="26.4">
      <c r="A308" s="213" t="s">
        <v>2275</v>
      </c>
      <c r="B308" s="211" t="s">
        <v>2274</v>
      </c>
      <c r="C308" s="211" t="s">
        <v>1806</v>
      </c>
      <c r="D308" s="215">
        <v>850</v>
      </c>
      <c r="E308" s="211"/>
      <c r="F308" s="211"/>
      <c r="G308" s="211"/>
      <c r="H308" s="210" t="s">
        <v>2026</v>
      </c>
      <c r="I308" s="197" t="str">
        <f t="shared" si="4"/>
        <v>MOTOR REPAIR, ELECTRIC (60 HP), ALLOWANCE</v>
      </c>
    </row>
    <row r="309" spans="1:9">
      <c r="A309" s="213" t="s">
        <v>2273</v>
      </c>
      <c r="B309" s="211" t="s">
        <v>2272</v>
      </c>
      <c r="C309" s="211" t="s">
        <v>1876</v>
      </c>
      <c r="D309" s="212">
        <v>1.5</v>
      </c>
      <c r="E309" s="211"/>
      <c r="F309" s="211"/>
      <c r="G309" s="211"/>
      <c r="H309" s="210">
        <v>39554</v>
      </c>
      <c r="I309" s="197" t="str">
        <f t="shared" si="4"/>
        <v>FLOOR, WOOD; REPAIR (REFINISH)</v>
      </c>
    </row>
    <row r="310" spans="1:9" ht="14.4">
      <c r="A310" s="213" t="s">
        <v>2271</v>
      </c>
      <c r="B310" s="211" t="s">
        <v>2270</v>
      </c>
      <c r="C310" s="211" t="s">
        <v>1876</v>
      </c>
      <c r="D310" s="219">
        <v>5.85</v>
      </c>
      <c r="E310" s="211"/>
      <c r="F310" s="211"/>
      <c r="G310" s="211"/>
      <c r="H310" s="217">
        <v>40878</v>
      </c>
      <c r="I310" s="197" t="str">
        <f t="shared" si="4"/>
        <v>FLOOR, HARDWOOD; REPLACE</v>
      </c>
    </row>
    <row r="311" spans="1:9" ht="14.4">
      <c r="A311" s="213" t="s">
        <v>2269</v>
      </c>
      <c r="B311" s="211" t="s">
        <v>2268</v>
      </c>
      <c r="C311" s="211" t="s">
        <v>1876</v>
      </c>
      <c r="D311" s="219">
        <v>1.04</v>
      </c>
      <c r="E311" s="211"/>
      <c r="F311" s="211"/>
      <c r="G311" s="211"/>
      <c r="H311" s="217">
        <v>40878</v>
      </c>
      <c r="I311" s="197" t="str">
        <f t="shared" si="4"/>
        <v>FLOOR, PLYWOOD OVERLAY, 5/8"</v>
      </c>
    </row>
    <row r="312" spans="1:9" ht="14.4">
      <c r="A312" s="213" t="s">
        <v>2267</v>
      </c>
      <c r="B312" s="211" t="s">
        <v>2266</v>
      </c>
      <c r="C312" s="211" t="s">
        <v>1876</v>
      </c>
      <c r="D312" s="219">
        <v>12.25</v>
      </c>
      <c r="E312" s="211"/>
      <c r="F312" s="211"/>
      <c r="G312" s="211"/>
      <c r="H312" s="217">
        <v>40878</v>
      </c>
      <c r="I312" s="197" t="str">
        <f t="shared" si="4"/>
        <v>WINDOW REPLACEMENT</v>
      </c>
    </row>
    <row r="313" spans="1:9" ht="14.4">
      <c r="A313" s="213" t="s">
        <v>2265</v>
      </c>
      <c r="B313" s="211" t="s">
        <v>2264</v>
      </c>
      <c r="C313" s="211" t="s">
        <v>1806</v>
      </c>
      <c r="D313" s="219">
        <v>165</v>
      </c>
      <c r="E313" s="211"/>
      <c r="F313" s="211"/>
      <c r="G313" s="211"/>
      <c r="H313" s="217">
        <v>40878</v>
      </c>
      <c r="I313" s="197" t="str">
        <f t="shared" si="4"/>
        <v>DOORS (INTERIOR) REPLACEMENT</v>
      </c>
    </row>
    <row r="314" spans="1:9" ht="14.4">
      <c r="A314" s="213" t="s">
        <v>2263</v>
      </c>
      <c r="B314" s="211" t="s">
        <v>2262</v>
      </c>
      <c r="C314" s="211" t="s">
        <v>1806</v>
      </c>
      <c r="D314" s="212">
        <v>300</v>
      </c>
      <c r="E314" s="211"/>
      <c r="F314" s="211"/>
      <c r="G314" s="211"/>
      <c r="H314" s="217">
        <v>39554</v>
      </c>
      <c r="I314" s="197" t="str">
        <f t="shared" si="4"/>
        <v>DOORS (EXTERIOR) REPLACEMENT</v>
      </c>
    </row>
    <row r="315" spans="1:9" ht="14.4">
      <c r="A315" s="225" t="s">
        <v>2261</v>
      </c>
      <c r="B315" s="227" t="s">
        <v>2260</v>
      </c>
      <c r="C315" s="223" t="s">
        <v>1806</v>
      </c>
      <c r="D315" s="219">
        <v>1540</v>
      </c>
      <c r="E315" s="223"/>
      <c r="F315" s="223"/>
      <c r="G315" s="223"/>
      <c r="H315" s="217">
        <v>40878</v>
      </c>
      <c r="I315" s="197" t="str">
        <f t="shared" si="4"/>
        <v>DOORS (OVERHEAD), 12' x 12' METAL</v>
      </c>
    </row>
    <row r="316" spans="1:9" ht="14.4">
      <c r="A316" s="213" t="s">
        <v>2259</v>
      </c>
      <c r="B316" s="211" t="s">
        <v>2258</v>
      </c>
      <c r="C316" s="211" t="s">
        <v>1806</v>
      </c>
      <c r="D316" s="212">
        <v>105</v>
      </c>
      <c r="E316" s="211"/>
      <c r="F316" s="211"/>
      <c r="G316" s="211"/>
      <c r="H316" s="217">
        <v>39462</v>
      </c>
      <c r="I316" s="197" t="str">
        <f t="shared" si="4"/>
        <v>DOORS, SCREEN, ALUMINUM</v>
      </c>
    </row>
    <row r="317" spans="1:9" ht="14.4">
      <c r="A317" s="213" t="s">
        <v>2257</v>
      </c>
      <c r="B317" s="211" t="s">
        <v>2256</v>
      </c>
      <c r="C317" s="211" t="s">
        <v>1876</v>
      </c>
      <c r="D317" s="219">
        <v>0.98</v>
      </c>
      <c r="E317" s="211"/>
      <c r="F317" s="211"/>
      <c r="G317" s="211"/>
      <c r="H317" s="217">
        <v>40878</v>
      </c>
      <c r="I317" s="197" t="str">
        <f t="shared" si="4"/>
        <v>DRYWALL REPLACEMENT</v>
      </c>
    </row>
    <row r="318" spans="1:9" ht="14.4">
      <c r="A318" s="213" t="s">
        <v>2255</v>
      </c>
      <c r="B318" s="211" t="s">
        <v>2254</v>
      </c>
      <c r="C318" s="211" t="s">
        <v>1876</v>
      </c>
      <c r="D318" s="218">
        <v>0.82</v>
      </c>
      <c r="E318" s="211"/>
      <c r="F318" s="211"/>
      <c r="G318" s="211"/>
      <c r="H318" s="217">
        <v>40878</v>
      </c>
      <c r="I318" s="197" t="str">
        <f t="shared" si="4"/>
        <v>DRYWALL, ACCOUSTICAL SPRAY FINISH</v>
      </c>
    </row>
    <row r="319" spans="1:9" ht="14.4">
      <c r="A319" s="213" t="s">
        <v>2253</v>
      </c>
      <c r="B319" s="211" t="s">
        <v>2252</v>
      </c>
      <c r="C319" s="211" t="s">
        <v>1876</v>
      </c>
      <c r="D319" s="218">
        <v>0.62</v>
      </c>
      <c r="E319" s="211"/>
      <c r="F319" s="211"/>
      <c r="G319" s="211"/>
      <c r="H319" s="217">
        <v>40878</v>
      </c>
      <c r="I319" s="197" t="str">
        <f t="shared" si="4"/>
        <v>DRYWALL, PAINT 2 COATS</v>
      </c>
    </row>
    <row r="320" spans="1:9" ht="14.4">
      <c r="A320" s="213" t="s">
        <v>2251</v>
      </c>
      <c r="B320" s="211" t="s">
        <v>2250</v>
      </c>
      <c r="C320" s="211" t="s">
        <v>1876</v>
      </c>
      <c r="D320" s="218">
        <v>0.56000000000000005</v>
      </c>
      <c r="E320" s="211"/>
      <c r="F320" s="211"/>
      <c r="G320" s="211"/>
      <c r="H320" s="217">
        <v>40878</v>
      </c>
      <c r="I320" s="197" t="str">
        <f t="shared" si="4"/>
        <v>DRYWALL, REMOVAL</v>
      </c>
    </row>
    <row r="321" spans="1:9" ht="14.4">
      <c r="A321" s="213" t="s">
        <v>2249</v>
      </c>
      <c r="B321" s="211" t="s">
        <v>2248</v>
      </c>
      <c r="C321" s="211" t="s">
        <v>1876</v>
      </c>
      <c r="D321" s="218">
        <v>0.98</v>
      </c>
      <c r="E321" s="211"/>
      <c r="F321" s="211"/>
      <c r="G321" s="211"/>
      <c r="H321" s="217">
        <v>40878</v>
      </c>
      <c r="I321" s="197" t="str">
        <f t="shared" si="4"/>
        <v>DRYWALL, GYPSUM</v>
      </c>
    </row>
    <row r="322" spans="1:9" ht="14.4">
      <c r="A322" s="213" t="s">
        <v>2247</v>
      </c>
      <c r="B322" s="211" t="s">
        <v>2246</v>
      </c>
      <c r="C322" s="211" t="s">
        <v>1876</v>
      </c>
      <c r="D322" s="218">
        <v>0.56000000000000005</v>
      </c>
      <c r="E322" s="211"/>
      <c r="F322" s="211"/>
      <c r="G322" s="211"/>
      <c r="H322" s="217">
        <v>40878</v>
      </c>
      <c r="I322" s="197" t="str">
        <f t="shared" si="4"/>
        <v>DRYWALL, REMOVAL (CEILING)</v>
      </c>
    </row>
    <row r="323" spans="1:9" ht="14.4">
      <c r="A323" s="213" t="s">
        <v>2245</v>
      </c>
      <c r="B323" s="211" t="s">
        <v>2244</v>
      </c>
      <c r="C323" s="211" t="s">
        <v>1876</v>
      </c>
      <c r="D323" s="218">
        <v>0.56000000000000005</v>
      </c>
      <c r="E323" s="211"/>
      <c r="F323" s="211"/>
      <c r="G323" s="211"/>
      <c r="H323" s="217">
        <v>40878</v>
      </c>
      <c r="I323" s="197" t="str">
        <f t="shared" si="4"/>
        <v>DRYWALL, REMOVAL (WALL)</v>
      </c>
    </row>
    <row r="324" spans="1:9">
      <c r="A324" s="213" t="s">
        <v>2243</v>
      </c>
      <c r="B324" s="211" t="s">
        <v>2242</v>
      </c>
      <c r="C324" s="211" t="s">
        <v>1876</v>
      </c>
      <c r="D324" s="212">
        <v>0.35</v>
      </c>
      <c r="E324" s="211"/>
      <c r="F324" s="211"/>
      <c r="G324" s="211"/>
      <c r="H324" s="210">
        <v>39462</v>
      </c>
      <c r="I324" s="197" t="str">
        <f t="shared" ref="I324:I387" si="5">IF(B324="","",B324)</f>
        <v>DRYWALL, SEAL</v>
      </c>
    </row>
    <row r="325" spans="1:9" ht="26.4">
      <c r="A325" s="213" t="s">
        <v>2241</v>
      </c>
      <c r="B325" s="211" t="s">
        <v>2240</v>
      </c>
      <c r="C325" s="211" t="s">
        <v>1876</v>
      </c>
      <c r="D325" s="218">
        <v>2.16</v>
      </c>
      <c r="E325" s="211"/>
      <c r="F325" s="211"/>
      <c r="G325" s="211"/>
      <c r="H325" s="217">
        <v>40878</v>
      </c>
      <c r="I325" s="197" t="str">
        <f t="shared" si="5"/>
        <v>DRYWALL;  REMOVE &amp; REPLACE; FLOAT TAPE &amp; BED; PAINT 2 COATS</v>
      </c>
    </row>
    <row r="326" spans="1:9" ht="14.4">
      <c r="A326" s="213" t="s">
        <v>2239</v>
      </c>
      <c r="B326" s="211" t="s">
        <v>2238</v>
      </c>
      <c r="C326" s="211" t="s">
        <v>1876</v>
      </c>
      <c r="D326" s="219">
        <v>3.2</v>
      </c>
      <c r="E326" s="211"/>
      <c r="F326" s="211"/>
      <c r="G326" s="211"/>
      <c r="H326" s="217">
        <v>39554</v>
      </c>
      <c r="I326" s="197" t="str">
        <f t="shared" si="5"/>
        <v>PANELING REPLACEMENT</v>
      </c>
    </row>
    <row r="327" spans="1:9" ht="14.4">
      <c r="A327" s="213" t="s">
        <v>2237</v>
      </c>
      <c r="B327" s="211" t="s">
        <v>2236</v>
      </c>
      <c r="C327" s="211" t="s">
        <v>1876</v>
      </c>
      <c r="D327" s="218">
        <v>2.8</v>
      </c>
      <c r="E327" s="211"/>
      <c r="F327" s="211"/>
      <c r="G327" s="211"/>
      <c r="H327" s="217">
        <v>40878</v>
      </c>
      <c r="I327" s="197" t="str">
        <f t="shared" si="5"/>
        <v>PATIO COVERS</v>
      </c>
    </row>
    <row r="328" spans="1:9" ht="14.4">
      <c r="A328" s="213" t="s">
        <v>2235</v>
      </c>
      <c r="B328" s="211" t="s">
        <v>2234</v>
      </c>
      <c r="C328" s="211" t="s">
        <v>1876</v>
      </c>
      <c r="D328" s="218">
        <v>0.87</v>
      </c>
      <c r="E328" s="211"/>
      <c r="F328" s="211"/>
      <c r="G328" s="211"/>
      <c r="H328" s="217">
        <v>40878</v>
      </c>
      <c r="I328" s="197" t="str">
        <f t="shared" si="5"/>
        <v>PLYWOOD SHEETING, 1/2"</v>
      </c>
    </row>
    <row r="329" spans="1:9">
      <c r="A329" s="213" t="s">
        <v>2233</v>
      </c>
      <c r="B329" s="211" t="s">
        <v>2232</v>
      </c>
      <c r="C329" s="211" t="s">
        <v>1834</v>
      </c>
      <c r="D329" s="212">
        <v>1</v>
      </c>
      <c r="E329" s="211"/>
      <c r="F329" s="211"/>
      <c r="G329" s="211"/>
      <c r="H329" s="210">
        <v>39469</v>
      </c>
      <c r="I329" s="197" t="str">
        <f t="shared" si="5"/>
        <v>PURLINS,  WOOD 1" X 6"</v>
      </c>
    </row>
    <row r="330" spans="1:9" ht="14.4">
      <c r="A330" s="213">
        <v>5200</v>
      </c>
      <c r="B330" s="211" t="s">
        <v>2231</v>
      </c>
      <c r="C330" s="211" t="s">
        <v>1876</v>
      </c>
      <c r="D330" s="219">
        <v>8.06</v>
      </c>
      <c r="E330" s="211"/>
      <c r="F330" s="211"/>
      <c r="G330" s="211"/>
      <c r="H330" s="217">
        <v>40878</v>
      </c>
      <c r="I330" s="197" t="str">
        <f t="shared" si="5"/>
        <v>FLOOR, GYM, REPLACEMENT</v>
      </c>
    </row>
    <row r="331" spans="1:9" ht="14.4">
      <c r="A331" s="213" t="s">
        <v>2230</v>
      </c>
      <c r="B331" s="211" t="s">
        <v>2229</v>
      </c>
      <c r="C331" s="211" t="s">
        <v>1885</v>
      </c>
      <c r="D331" s="219">
        <v>22.3</v>
      </c>
      <c r="E331" s="211"/>
      <c r="F331" s="211"/>
      <c r="G331" s="211"/>
      <c r="H331" s="217">
        <v>40878</v>
      </c>
      <c r="I331" s="197" t="str">
        <f t="shared" si="5"/>
        <v>CARPET REPLACEMENT</v>
      </c>
    </row>
    <row r="332" spans="1:9" ht="14.4">
      <c r="A332" s="213" t="s">
        <v>2228</v>
      </c>
      <c r="B332" s="211" t="s">
        <v>2227</v>
      </c>
      <c r="C332" s="211" t="s">
        <v>1876</v>
      </c>
      <c r="D332" s="219">
        <v>2.36</v>
      </c>
      <c r="E332" s="211"/>
      <c r="F332" s="211"/>
      <c r="G332" s="211"/>
      <c r="H332" s="217">
        <v>40878</v>
      </c>
      <c r="I332" s="197" t="str">
        <f t="shared" si="5"/>
        <v>FLOOR TILE (VINYL) REPLACEMENT</v>
      </c>
    </row>
    <row r="333" spans="1:9">
      <c r="A333" s="213" t="s">
        <v>2226</v>
      </c>
      <c r="B333" s="211" t="s">
        <v>2225</v>
      </c>
      <c r="C333" s="211" t="s">
        <v>1876</v>
      </c>
      <c r="D333" s="212">
        <v>4</v>
      </c>
      <c r="E333" s="211"/>
      <c r="F333" s="211"/>
      <c r="G333" s="211"/>
      <c r="H333" s="210">
        <v>39554</v>
      </c>
      <c r="I333" s="197" t="str">
        <f t="shared" si="5"/>
        <v>MASONRY WALL (8") REPLACEMENT</v>
      </c>
    </row>
    <row r="334" spans="1:9">
      <c r="A334" s="213" t="s">
        <v>2224</v>
      </c>
      <c r="B334" s="211" t="s">
        <v>2223</v>
      </c>
      <c r="C334" s="211" t="s">
        <v>1876</v>
      </c>
      <c r="D334" s="226">
        <v>2.1</v>
      </c>
      <c r="E334" s="211"/>
      <c r="F334" s="211"/>
      <c r="G334" s="211"/>
      <c r="H334" s="210" t="s">
        <v>2026</v>
      </c>
      <c r="I334" s="197" t="str">
        <f t="shared" si="5"/>
        <v>WALL,  STUCCO</v>
      </c>
    </row>
    <row r="335" spans="1:9">
      <c r="A335" s="213" t="s">
        <v>2222</v>
      </c>
      <c r="B335" s="211" t="s">
        <v>2221</v>
      </c>
      <c r="C335" s="211" t="s">
        <v>1806</v>
      </c>
      <c r="D335" s="215">
        <v>85</v>
      </c>
      <c r="E335" s="211"/>
      <c r="F335" s="211"/>
      <c r="G335" s="211"/>
      <c r="H335" s="210">
        <v>39462</v>
      </c>
      <c r="I335" s="197" t="str">
        <f t="shared" si="5"/>
        <v>WINDOW, STORM</v>
      </c>
    </row>
    <row r="336" spans="1:9">
      <c r="A336" s="213" t="s">
        <v>2220</v>
      </c>
      <c r="B336" s="211" t="s">
        <v>2219</v>
      </c>
      <c r="C336" s="211" t="s">
        <v>1876</v>
      </c>
      <c r="D336" s="212">
        <v>0.85</v>
      </c>
      <c r="E336" s="211"/>
      <c r="F336" s="211"/>
      <c r="G336" s="211"/>
      <c r="H336" s="210">
        <v>39462</v>
      </c>
      <c r="I336" s="197" t="str">
        <f t="shared" si="5"/>
        <v>WINDOW, WIRE SCREEN, ALUMINUM</v>
      </c>
    </row>
    <row r="337" spans="1:9">
      <c r="A337" s="213" t="s">
        <v>2218</v>
      </c>
      <c r="B337" s="211" t="s">
        <v>2217</v>
      </c>
      <c r="C337" s="211" t="s">
        <v>1876</v>
      </c>
      <c r="D337" s="212">
        <v>2.15</v>
      </c>
      <c r="E337" s="211"/>
      <c r="F337" s="211"/>
      <c r="G337" s="211"/>
      <c r="H337" s="210">
        <v>39462</v>
      </c>
      <c r="I337" s="197" t="str">
        <f t="shared" si="5"/>
        <v>WINDOW, WIRE SCREEN, COPPER</v>
      </c>
    </row>
    <row r="338" spans="1:9">
      <c r="A338" s="213" t="s">
        <v>2216</v>
      </c>
      <c r="B338" s="211" t="s">
        <v>2215</v>
      </c>
      <c r="C338" s="211" t="s">
        <v>1876</v>
      </c>
      <c r="D338" s="212">
        <v>0.85</v>
      </c>
      <c r="E338" s="211"/>
      <c r="F338" s="211"/>
      <c r="G338" s="211"/>
      <c r="H338" s="210">
        <v>39462</v>
      </c>
      <c r="I338" s="197" t="str">
        <f t="shared" si="5"/>
        <v>WINDOW, WIRE SCREEN, GALVANIZED</v>
      </c>
    </row>
    <row r="339" spans="1:9" ht="26.4">
      <c r="A339" s="213" t="s">
        <v>2214</v>
      </c>
      <c r="B339" s="211" t="s">
        <v>2213</v>
      </c>
      <c r="C339" s="211" t="s">
        <v>1806</v>
      </c>
      <c r="D339" s="218">
        <v>17</v>
      </c>
      <c r="E339" s="211"/>
      <c r="F339" s="211"/>
      <c r="G339" s="211"/>
      <c r="H339" s="217">
        <v>40878</v>
      </c>
      <c r="I339" s="197" t="str">
        <f t="shared" si="5"/>
        <v>WINDOW, SCREEN, 36" X 27" (RESIDENTIAL)</v>
      </c>
    </row>
    <row r="340" spans="1:9">
      <c r="A340" s="213" t="s">
        <v>2212</v>
      </c>
      <c r="B340" s="211" t="s">
        <v>2211</v>
      </c>
      <c r="C340" s="211" t="s">
        <v>1876</v>
      </c>
      <c r="D340" s="212">
        <v>1.5</v>
      </c>
      <c r="E340" s="211"/>
      <c r="F340" s="211"/>
      <c r="G340" s="211"/>
      <c r="H340" s="210">
        <v>39554</v>
      </c>
      <c r="I340" s="197" t="str">
        <f t="shared" si="5"/>
        <v>FLOOR  CONCRETE (4") REPLACE</v>
      </c>
    </row>
    <row r="341" spans="1:9">
      <c r="A341" s="213" t="s">
        <v>2210</v>
      </c>
      <c r="B341" s="211" t="s">
        <v>2209</v>
      </c>
      <c r="C341" s="211" t="s">
        <v>1876</v>
      </c>
      <c r="D341" s="212">
        <v>2</v>
      </c>
      <c r="E341" s="211"/>
      <c r="F341" s="211"/>
      <c r="G341" s="211"/>
      <c r="H341" s="210">
        <v>39554</v>
      </c>
      <c r="I341" s="197" t="str">
        <f t="shared" si="5"/>
        <v>FLOOR  CONCRETE (6") REPLACE</v>
      </c>
    </row>
    <row r="342" spans="1:9" ht="14.4">
      <c r="A342" s="213" t="s">
        <v>2208</v>
      </c>
      <c r="B342" s="211" t="s">
        <v>2207</v>
      </c>
      <c r="C342" s="211" t="s">
        <v>1876</v>
      </c>
      <c r="D342" s="219">
        <v>0.62</v>
      </c>
      <c r="E342" s="211"/>
      <c r="F342" s="211"/>
      <c r="G342" s="211"/>
      <c r="H342" s="217">
        <v>40878</v>
      </c>
      <c r="I342" s="197" t="str">
        <f t="shared" si="5"/>
        <v>PAINTING  INTERIOR</v>
      </c>
    </row>
    <row r="343" spans="1:9" ht="14.4">
      <c r="A343" s="213" t="s">
        <v>2206</v>
      </c>
      <c r="B343" s="211" t="s">
        <v>2205</v>
      </c>
      <c r="C343" s="211" t="s">
        <v>1876</v>
      </c>
      <c r="D343" s="219">
        <v>0.78</v>
      </c>
      <c r="E343" s="211"/>
      <c r="F343" s="211"/>
      <c r="G343" s="211"/>
      <c r="H343" s="217">
        <v>40878</v>
      </c>
      <c r="I343" s="197" t="str">
        <f t="shared" si="5"/>
        <v>PAINTING  EXTERIOR</v>
      </c>
    </row>
    <row r="344" spans="1:9">
      <c r="A344" s="213" t="s">
        <v>2204</v>
      </c>
      <c r="B344" s="211" t="s">
        <v>2203</v>
      </c>
      <c r="C344" s="211" t="s">
        <v>1806</v>
      </c>
      <c r="D344" s="212">
        <v>380</v>
      </c>
      <c r="E344" s="211"/>
      <c r="F344" s="211"/>
      <c r="G344" s="211"/>
      <c r="H344" s="210">
        <v>39555</v>
      </c>
      <c r="I344" s="197" t="str">
        <f t="shared" si="5"/>
        <v>HOT WATER HEATER REPLACEMENT</v>
      </c>
    </row>
    <row r="345" spans="1:9">
      <c r="A345" s="213" t="s">
        <v>2202</v>
      </c>
      <c r="B345" s="211" t="s">
        <v>2201</v>
      </c>
      <c r="C345" s="211" t="s">
        <v>1876</v>
      </c>
      <c r="D345" s="215">
        <v>0.65</v>
      </c>
      <c r="E345" s="211"/>
      <c r="F345" s="211"/>
      <c r="G345" s="211"/>
      <c r="H345" s="210">
        <v>39462</v>
      </c>
      <c r="I345" s="197" t="str">
        <f t="shared" si="5"/>
        <v>INSULATION, BLOWN 6" THICK</v>
      </c>
    </row>
    <row r="346" spans="1:9">
      <c r="A346" s="213" t="s">
        <v>2200</v>
      </c>
      <c r="B346" s="211" t="s">
        <v>2199</v>
      </c>
      <c r="C346" s="211" t="s">
        <v>1876</v>
      </c>
      <c r="D346" s="215">
        <v>0.5</v>
      </c>
      <c r="E346" s="211"/>
      <c r="F346" s="211"/>
      <c r="G346" s="211"/>
      <c r="H346" s="210">
        <v>39462</v>
      </c>
      <c r="I346" s="197" t="str">
        <f t="shared" si="5"/>
        <v xml:space="preserve">INSULATION, R11, WALL, 4" </v>
      </c>
    </row>
    <row r="347" spans="1:9">
      <c r="A347" s="213" t="s">
        <v>2198</v>
      </c>
      <c r="B347" s="211" t="s">
        <v>2197</v>
      </c>
      <c r="C347" s="211" t="s">
        <v>1876</v>
      </c>
      <c r="D347" s="212">
        <v>0.75</v>
      </c>
      <c r="E347" s="211"/>
      <c r="F347" s="211"/>
      <c r="G347" s="211"/>
      <c r="H347" s="210">
        <v>39462</v>
      </c>
      <c r="I347" s="197" t="str">
        <f t="shared" si="5"/>
        <v>INSULATION, REMOVE &amp; REPLACE</v>
      </c>
    </row>
    <row r="348" spans="1:9">
      <c r="A348" s="213" t="s">
        <v>2196</v>
      </c>
      <c r="B348" s="211" t="s">
        <v>2195</v>
      </c>
      <c r="C348" s="211" t="s">
        <v>1806</v>
      </c>
      <c r="D348" s="212">
        <v>150</v>
      </c>
      <c r="E348" s="211"/>
      <c r="F348" s="211"/>
      <c r="G348" s="211"/>
      <c r="H348" s="210">
        <v>39555</v>
      </c>
      <c r="I348" s="197" t="str">
        <f t="shared" si="5"/>
        <v>TABLES  LAMINATED  REPLACEMENT</v>
      </c>
    </row>
    <row r="349" spans="1:9">
      <c r="A349" s="213" t="s">
        <v>2194</v>
      </c>
      <c r="B349" s="211" t="s">
        <v>2193</v>
      </c>
      <c r="C349" s="211" t="s">
        <v>1876</v>
      </c>
      <c r="D349" s="212">
        <v>2.2000000000000002</v>
      </c>
      <c r="E349" s="211"/>
      <c r="F349" s="211"/>
      <c r="G349" s="211"/>
      <c r="H349" s="210">
        <v>39462</v>
      </c>
      <c r="I349" s="197" t="str">
        <f t="shared" si="5"/>
        <v>WALL, COMMON</v>
      </c>
    </row>
    <row r="350" spans="1:9">
      <c r="A350" s="213" t="s">
        <v>2192</v>
      </c>
      <c r="B350" s="211" t="s">
        <v>2191</v>
      </c>
      <c r="C350" s="211" t="s">
        <v>1876</v>
      </c>
      <c r="D350" s="212">
        <v>3</v>
      </c>
      <c r="E350" s="211"/>
      <c r="F350" s="211"/>
      <c r="G350" s="211"/>
      <c r="H350" s="210">
        <v>39462</v>
      </c>
      <c r="I350" s="197" t="str">
        <f t="shared" si="5"/>
        <v>WALL, CONCRETE</v>
      </c>
    </row>
    <row r="351" spans="1:9" ht="14.4">
      <c r="A351" s="213" t="s">
        <v>2190</v>
      </c>
      <c r="B351" s="211" t="s">
        <v>2189</v>
      </c>
      <c r="C351" s="211" t="s">
        <v>1806</v>
      </c>
      <c r="D351" s="219">
        <v>620</v>
      </c>
      <c r="E351" s="211"/>
      <c r="F351" s="211"/>
      <c r="G351" s="211"/>
      <c r="H351" s="217">
        <v>40878</v>
      </c>
      <c r="I351" s="197" t="str">
        <f t="shared" si="5"/>
        <v>TABLES CONFERENCE - REPLACEMENT</v>
      </c>
    </row>
    <row r="352" spans="1:9" ht="14.4">
      <c r="A352" s="213" t="s">
        <v>2188</v>
      </c>
      <c r="B352" s="211" t="s">
        <v>2187</v>
      </c>
      <c r="C352" s="211" t="s">
        <v>1806</v>
      </c>
      <c r="D352" s="212">
        <v>200</v>
      </c>
      <c r="E352" s="211"/>
      <c r="F352" s="211"/>
      <c r="G352" s="211"/>
      <c r="H352" s="217">
        <v>39462</v>
      </c>
      <c r="I352" s="197" t="str">
        <f t="shared" si="5"/>
        <v>AIR CONDITIONER;  CLEAN &amp; REPAIR</v>
      </c>
    </row>
    <row r="353" spans="1:9" ht="26.4">
      <c r="A353" s="213" t="s">
        <v>2186</v>
      </c>
      <c r="B353" s="211" t="s">
        <v>2185</v>
      </c>
      <c r="C353" s="211" t="s">
        <v>1806</v>
      </c>
      <c r="D353" s="212">
        <v>1250</v>
      </c>
      <c r="E353" s="211"/>
      <c r="F353" s="211"/>
      <c r="G353" s="211"/>
      <c r="H353" s="217">
        <v>39462</v>
      </c>
      <c r="I353" s="197" t="str">
        <f t="shared" si="5"/>
        <v>AIR CONDITIONER UP TO 3000 SF; RESIDENCE</v>
      </c>
    </row>
    <row r="354" spans="1:9" ht="14.4">
      <c r="A354" s="213" t="s">
        <v>2184</v>
      </c>
      <c r="B354" s="211" t="s">
        <v>2183</v>
      </c>
      <c r="C354" s="211" t="s">
        <v>1806</v>
      </c>
      <c r="D354" s="212">
        <v>90</v>
      </c>
      <c r="E354" s="211"/>
      <c r="F354" s="211"/>
      <c r="G354" s="211"/>
      <c r="H354" s="217">
        <v>39462</v>
      </c>
      <c r="I354" s="197" t="str">
        <f t="shared" si="5"/>
        <v>BATHTUB; RESET</v>
      </c>
    </row>
    <row r="355" spans="1:9" ht="14.4">
      <c r="A355" s="213" t="s">
        <v>2182</v>
      </c>
      <c r="B355" s="211" t="s">
        <v>2181</v>
      </c>
      <c r="C355" s="211" t="s">
        <v>1806</v>
      </c>
      <c r="D355" s="218">
        <v>520</v>
      </c>
      <c r="E355" s="211"/>
      <c r="F355" s="211"/>
      <c r="G355" s="211"/>
      <c r="H355" s="217">
        <v>40878</v>
      </c>
      <c r="I355" s="197" t="str">
        <f t="shared" si="5"/>
        <v>BATHTUB; REPLACE</v>
      </c>
    </row>
    <row r="356" spans="1:9" ht="14.4">
      <c r="A356" s="213" t="s">
        <v>2180</v>
      </c>
      <c r="B356" s="211" t="s">
        <v>2179</v>
      </c>
      <c r="C356" s="211" t="s">
        <v>1834</v>
      </c>
      <c r="D356" s="218">
        <v>78</v>
      </c>
      <c r="E356" s="211"/>
      <c r="F356" s="211"/>
      <c r="G356" s="211"/>
      <c r="H356" s="217">
        <v>40878</v>
      </c>
      <c r="I356" s="197" t="str">
        <f t="shared" si="5"/>
        <v>CABINETS, WALL; REPLACE</v>
      </c>
    </row>
    <row r="357" spans="1:9" ht="14.4">
      <c r="A357" s="213" t="s">
        <v>2178</v>
      </c>
      <c r="B357" s="211" t="s">
        <v>2177</v>
      </c>
      <c r="C357" s="211" t="s">
        <v>1834</v>
      </c>
      <c r="D357" s="218">
        <v>98</v>
      </c>
      <c r="E357" s="211"/>
      <c r="F357" s="211"/>
      <c r="G357" s="211"/>
      <c r="H357" s="217">
        <v>40878</v>
      </c>
      <c r="I357" s="197" t="str">
        <f t="shared" si="5"/>
        <v>CABINETS; BASE; REPLACE</v>
      </c>
    </row>
    <row r="358" spans="1:9" ht="14.4">
      <c r="A358" s="213" t="s">
        <v>2176</v>
      </c>
      <c r="B358" s="211" t="s">
        <v>2175</v>
      </c>
      <c r="C358" s="211" t="s">
        <v>1806</v>
      </c>
      <c r="D358" s="218">
        <v>140</v>
      </c>
      <c r="E358" s="211"/>
      <c r="F358" s="211"/>
      <c r="G358" s="211"/>
      <c r="H358" s="217">
        <v>40878</v>
      </c>
      <c r="I358" s="197" t="str">
        <f t="shared" si="5"/>
        <v>CABINET, VANITY; REPLACE</v>
      </c>
    </row>
    <row r="359" spans="1:9" ht="14.4">
      <c r="A359" s="213" t="s">
        <v>2174</v>
      </c>
      <c r="B359" s="211" t="s">
        <v>2173</v>
      </c>
      <c r="C359" s="211" t="s">
        <v>1806</v>
      </c>
      <c r="D359" s="219">
        <v>450</v>
      </c>
      <c r="E359" s="211"/>
      <c r="F359" s="211"/>
      <c r="G359" s="211"/>
      <c r="H359" s="217">
        <v>40878</v>
      </c>
      <c r="I359" s="197" t="str">
        <f t="shared" si="5"/>
        <v>DESK REPLACEMENT</v>
      </c>
    </row>
    <row r="360" spans="1:9" ht="14.4">
      <c r="A360" s="213" t="s">
        <v>2172</v>
      </c>
      <c r="B360" s="211" t="s">
        <v>2171</v>
      </c>
      <c r="C360" s="211" t="s">
        <v>1834</v>
      </c>
      <c r="D360" s="212">
        <v>4</v>
      </c>
      <c r="E360" s="211"/>
      <c r="F360" s="211"/>
      <c r="G360" s="211"/>
      <c r="H360" s="217">
        <v>39468</v>
      </c>
      <c r="I360" s="197" t="str">
        <f t="shared" si="5"/>
        <v>DUCTWORK; CLEAN &amp; SANITIZE</v>
      </c>
    </row>
    <row r="361" spans="1:9" ht="14.4">
      <c r="A361" s="213" t="s">
        <v>2170</v>
      </c>
      <c r="B361" s="211" t="s">
        <v>2169</v>
      </c>
      <c r="C361" s="211" t="s">
        <v>1806</v>
      </c>
      <c r="D361" s="215">
        <v>200</v>
      </c>
      <c r="E361" s="211"/>
      <c r="F361" s="211"/>
      <c r="G361" s="211"/>
      <c r="H361" s="217">
        <v>39555</v>
      </c>
      <c r="I361" s="197" t="str">
        <f t="shared" si="5"/>
        <v>FILING CABINET REPLACEMENT</v>
      </c>
    </row>
    <row r="362" spans="1:9" ht="14.4">
      <c r="A362" s="213" t="s">
        <v>2168</v>
      </c>
      <c r="B362" s="211" t="s">
        <v>2167</v>
      </c>
      <c r="C362" s="211" t="s">
        <v>1806</v>
      </c>
      <c r="D362" s="215">
        <v>300</v>
      </c>
      <c r="E362" s="211"/>
      <c r="F362" s="211"/>
      <c r="G362" s="211"/>
      <c r="H362" s="217">
        <v>39555</v>
      </c>
      <c r="I362" s="197" t="str">
        <f t="shared" si="5"/>
        <v>CHAIR REPLACEMENT</v>
      </c>
    </row>
    <row r="363" spans="1:9">
      <c r="A363" s="213" t="s">
        <v>2166</v>
      </c>
      <c r="B363" s="211" t="s">
        <v>2165</v>
      </c>
      <c r="C363" s="211" t="s">
        <v>1806</v>
      </c>
      <c r="D363" s="212">
        <v>715</v>
      </c>
      <c r="E363" s="211"/>
      <c r="F363" s="211"/>
      <c r="G363" s="211"/>
      <c r="H363" s="210">
        <v>39555</v>
      </c>
      <c r="I363" s="197" t="str">
        <f t="shared" si="5"/>
        <v>REFRIGERATOR REPLACEMENT</v>
      </c>
    </row>
    <row r="364" spans="1:9">
      <c r="A364" s="213" t="s">
        <v>2164</v>
      </c>
      <c r="B364" s="211" t="s">
        <v>2163</v>
      </c>
      <c r="C364" s="211" t="s">
        <v>1806</v>
      </c>
      <c r="D364" s="212">
        <v>850</v>
      </c>
      <c r="E364" s="211"/>
      <c r="F364" s="211"/>
      <c r="G364" s="211"/>
      <c r="H364" s="210">
        <v>39555</v>
      </c>
      <c r="I364" s="197" t="str">
        <f t="shared" si="5"/>
        <v>FREEZER REPLACEMENT</v>
      </c>
    </row>
    <row r="365" spans="1:9" ht="14.4">
      <c r="A365" s="213" t="s">
        <v>2162</v>
      </c>
      <c r="B365" s="211" t="s">
        <v>2161</v>
      </c>
      <c r="C365" s="211" t="s">
        <v>1834</v>
      </c>
      <c r="D365" s="218">
        <v>4.91</v>
      </c>
      <c r="E365" s="211"/>
      <c r="F365" s="211"/>
      <c r="G365" s="211"/>
      <c r="H365" s="217">
        <v>40878</v>
      </c>
      <c r="I365" s="197" t="str">
        <f t="shared" si="5"/>
        <v>GUTTER, DOWNSPOUT, METAL 6"</v>
      </c>
    </row>
    <row r="366" spans="1:9" ht="14.4">
      <c r="A366" s="213" t="s">
        <v>2160</v>
      </c>
      <c r="B366" s="211" t="s">
        <v>2159</v>
      </c>
      <c r="C366" s="211" t="s">
        <v>1834</v>
      </c>
      <c r="D366" s="218">
        <v>1.6</v>
      </c>
      <c r="E366" s="211"/>
      <c r="F366" s="211"/>
      <c r="G366" s="211"/>
      <c r="H366" s="217">
        <v>40878</v>
      </c>
      <c r="I366" s="197" t="str">
        <f t="shared" si="5"/>
        <v>GUTTER DRIP EDGE, METAL HEATER</v>
      </c>
    </row>
    <row r="367" spans="1:9" ht="14.4">
      <c r="A367" s="213" t="s">
        <v>2158</v>
      </c>
      <c r="B367" s="211" t="s">
        <v>2157</v>
      </c>
      <c r="C367" s="211" t="s">
        <v>1834</v>
      </c>
      <c r="D367" s="218">
        <v>3.19</v>
      </c>
      <c r="E367" s="211"/>
      <c r="F367" s="211"/>
      <c r="G367" s="211"/>
      <c r="H367" s="217">
        <v>40878</v>
      </c>
      <c r="I367" s="197" t="str">
        <f t="shared" si="5"/>
        <v>GUTTERS, METAL 4"</v>
      </c>
    </row>
    <row r="368" spans="1:9" ht="14.4">
      <c r="A368" s="213" t="s">
        <v>2156</v>
      </c>
      <c r="B368" s="211" t="s">
        <v>2155</v>
      </c>
      <c r="C368" s="211" t="s">
        <v>1834</v>
      </c>
      <c r="D368" s="218">
        <v>3.66</v>
      </c>
      <c r="E368" s="211"/>
      <c r="F368" s="211"/>
      <c r="G368" s="211"/>
      <c r="H368" s="217">
        <v>40878</v>
      </c>
      <c r="I368" s="197" t="str">
        <f t="shared" si="5"/>
        <v>GUTTERS,  METAL 6"</v>
      </c>
    </row>
    <row r="369" spans="1:9" ht="14.4">
      <c r="A369" s="213" t="s">
        <v>2154</v>
      </c>
      <c r="B369" s="211" t="s">
        <v>2153</v>
      </c>
      <c r="C369" s="211" t="s">
        <v>1806</v>
      </c>
      <c r="D369" s="219">
        <v>200</v>
      </c>
      <c r="E369" s="211"/>
      <c r="F369" s="211"/>
      <c r="G369" s="211"/>
      <c r="H369" s="217">
        <v>40878</v>
      </c>
      <c r="I369" s="197" t="str">
        <f t="shared" si="5"/>
        <v>FURNACE, HEATING; CLEAN &amp; REPAIR</v>
      </c>
    </row>
    <row r="370" spans="1:9" ht="14.4">
      <c r="A370" s="213" t="s">
        <v>2152</v>
      </c>
      <c r="B370" s="211" t="s">
        <v>2151</v>
      </c>
      <c r="C370" s="211" t="s">
        <v>1806</v>
      </c>
      <c r="D370" s="219">
        <v>375</v>
      </c>
      <c r="E370" s="211"/>
      <c r="F370" s="211"/>
      <c r="G370" s="211"/>
      <c r="H370" s="217">
        <v>40878</v>
      </c>
      <c r="I370" s="197" t="str">
        <f t="shared" si="5"/>
        <v>PORCH ACCESS; FABRICATE, 4' X 4'</v>
      </c>
    </row>
    <row r="371" spans="1:9">
      <c r="A371" s="213" t="s">
        <v>2150</v>
      </c>
      <c r="B371" s="211" t="s">
        <v>2149</v>
      </c>
      <c r="C371" s="211" t="s">
        <v>1806</v>
      </c>
      <c r="D371" s="212">
        <v>90</v>
      </c>
      <c r="E371" s="211"/>
      <c r="F371" s="211"/>
      <c r="G371" s="211"/>
      <c r="H371" s="210">
        <v>39555</v>
      </c>
      <c r="I371" s="197" t="str">
        <f t="shared" si="5"/>
        <v>SINK, BATHROOM; REINSTALL</v>
      </c>
    </row>
    <row r="372" spans="1:9" ht="14.4">
      <c r="A372" s="213" t="s">
        <v>2148</v>
      </c>
      <c r="B372" s="211" t="s">
        <v>2147</v>
      </c>
      <c r="C372" s="211" t="s">
        <v>1806</v>
      </c>
      <c r="D372" s="218">
        <v>300</v>
      </c>
      <c r="E372" s="211"/>
      <c r="F372" s="211"/>
      <c r="G372" s="211"/>
      <c r="H372" s="217">
        <v>40878</v>
      </c>
      <c r="I372" s="197" t="str">
        <f t="shared" si="5"/>
        <v>SINK, BATHROOM; REMOVE &amp; REPLACE</v>
      </c>
    </row>
    <row r="373" spans="1:9">
      <c r="A373" s="213" t="s">
        <v>2146</v>
      </c>
      <c r="B373" s="211" t="s">
        <v>2145</v>
      </c>
      <c r="C373" s="211" t="s">
        <v>1806</v>
      </c>
      <c r="D373" s="212">
        <v>90</v>
      </c>
      <c r="E373" s="211"/>
      <c r="F373" s="211"/>
      <c r="G373" s="211"/>
      <c r="H373" s="210">
        <v>39462</v>
      </c>
      <c r="I373" s="197" t="str">
        <f t="shared" si="5"/>
        <v>SINK, KITCHEN; REINSTALL</v>
      </c>
    </row>
    <row r="374" spans="1:9" ht="14.4">
      <c r="A374" s="213" t="s">
        <v>2144</v>
      </c>
      <c r="B374" s="211" t="s">
        <v>2143</v>
      </c>
      <c r="C374" s="211" t="s">
        <v>1806</v>
      </c>
      <c r="D374" s="218">
        <v>236</v>
      </c>
      <c r="E374" s="211"/>
      <c r="F374" s="211"/>
      <c r="G374" s="211"/>
      <c r="H374" s="217">
        <v>40878</v>
      </c>
      <c r="I374" s="197" t="str">
        <f t="shared" si="5"/>
        <v>SINK, KITCHEN; REPLACE</v>
      </c>
    </row>
    <row r="375" spans="1:9" ht="14.4">
      <c r="A375" s="213" t="s">
        <v>2142</v>
      </c>
      <c r="B375" s="211" t="s">
        <v>2141</v>
      </c>
      <c r="C375" s="211" t="s">
        <v>1806</v>
      </c>
      <c r="D375" s="215">
        <v>250</v>
      </c>
      <c r="E375" s="211"/>
      <c r="F375" s="211"/>
      <c r="G375" s="211"/>
      <c r="H375" s="217">
        <v>39555</v>
      </c>
      <c r="I375" s="197" t="str">
        <f t="shared" si="5"/>
        <v>SKYLIGHT; REPLACE</v>
      </c>
    </row>
    <row r="376" spans="1:9">
      <c r="A376" s="213" t="s">
        <v>2140</v>
      </c>
      <c r="B376" s="211" t="s">
        <v>2139</v>
      </c>
      <c r="C376" s="211" t="s">
        <v>1806</v>
      </c>
      <c r="D376" s="212">
        <v>90</v>
      </c>
      <c r="E376" s="211"/>
      <c r="F376" s="211"/>
      <c r="G376" s="211"/>
      <c r="H376" s="210">
        <v>39555</v>
      </c>
      <c r="I376" s="197" t="str">
        <f t="shared" si="5"/>
        <v>TOLIET &amp; TANK; RESET</v>
      </c>
    </row>
    <row r="377" spans="1:9" ht="14.4">
      <c r="A377" s="213" t="s">
        <v>2138</v>
      </c>
      <c r="B377" s="211" t="s">
        <v>2137</v>
      </c>
      <c r="C377" s="211" t="s">
        <v>1806</v>
      </c>
      <c r="D377" s="218">
        <v>215</v>
      </c>
      <c r="E377" s="211"/>
      <c r="F377" s="211"/>
      <c r="G377" s="211"/>
      <c r="H377" s="217">
        <v>40878</v>
      </c>
      <c r="I377" s="197" t="str">
        <f t="shared" si="5"/>
        <v>TOILET &amp; TANK; REPLACE</v>
      </c>
    </row>
    <row r="378" spans="1:9" ht="14.4">
      <c r="A378" s="213" t="s">
        <v>2136</v>
      </c>
      <c r="B378" s="211" t="s">
        <v>2135</v>
      </c>
      <c r="C378" s="211" t="s">
        <v>2027</v>
      </c>
      <c r="D378" s="218">
        <v>1500</v>
      </c>
      <c r="E378" s="211"/>
      <c r="F378" s="211"/>
      <c r="G378" s="211"/>
      <c r="H378" s="217">
        <v>40878</v>
      </c>
      <c r="I378" s="197" t="str">
        <f t="shared" si="5"/>
        <v>LAPTOP COMPUTER</v>
      </c>
    </row>
    <row r="379" spans="1:9">
      <c r="A379" s="216" t="s">
        <v>2134</v>
      </c>
      <c r="B379" s="214" t="s">
        <v>2133</v>
      </c>
      <c r="C379" s="214" t="s">
        <v>2027</v>
      </c>
      <c r="D379" s="215">
        <v>0</v>
      </c>
      <c r="E379" s="214"/>
      <c r="F379" s="214"/>
      <c r="G379" s="214"/>
      <c r="H379" s="210">
        <v>39462</v>
      </c>
      <c r="I379" s="197" t="str">
        <f t="shared" si="5"/>
        <v>DEDUCTION OF ESTIMATED DAMAGE AMOUNT</v>
      </c>
    </row>
    <row r="380" spans="1:9">
      <c r="A380" s="216" t="s">
        <v>2132</v>
      </c>
      <c r="B380" s="214" t="s">
        <v>2131</v>
      </c>
      <c r="C380" s="214" t="s">
        <v>2027</v>
      </c>
      <c r="D380" s="215">
        <v>0</v>
      </c>
      <c r="E380" s="214"/>
      <c r="F380" s="214"/>
      <c r="G380" s="214"/>
      <c r="H380" s="210">
        <v>39462</v>
      </c>
      <c r="I380" s="197" t="str">
        <f t="shared" si="5"/>
        <v>FLOOD INSURNACE DEDUCTIBLE</v>
      </c>
    </row>
    <row r="381" spans="1:9" ht="26.4">
      <c r="A381" s="216" t="s">
        <v>2130</v>
      </c>
      <c r="B381" s="214" t="s">
        <v>2129</v>
      </c>
      <c r="C381" s="214" t="s">
        <v>2027</v>
      </c>
      <c r="D381" s="215">
        <v>0</v>
      </c>
      <c r="E381" s="214"/>
      <c r="F381" s="214"/>
      <c r="G381" s="214"/>
      <c r="H381" s="210">
        <v>39462</v>
      </c>
      <c r="I381" s="197" t="str">
        <f t="shared" si="5"/>
        <v>ITEMS NOT COVERED UNDER FLOOD INSURANCE</v>
      </c>
    </row>
    <row r="382" spans="1:9">
      <c r="A382" s="216" t="s">
        <v>2128</v>
      </c>
      <c r="B382" s="214" t="s">
        <v>2127</v>
      </c>
      <c r="C382" s="214" t="s">
        <v>2027</v>
      </c>
      <c r="D382" s="215">
        <v>0</v>
      </c>
      <c r="E382" s="214"/>
      <c r="F382" s="214"/>
      <c r="G382" s="214"/>
      <c r="H382" s="210">
        <v>39462</v>
      </c>
      <c r="I382" s="197" t="str">
        <f t="shared" si="5"/>
        <v>DEPRECIATION, ELIGIBLE ITEMS</v>
      </c>
    </row>
    <row r="383" spans="1:9" ht="26.4">
      <c r="A383" s="225" t="s">
        <v>2126</v>
      </c>
      <c r="B383" s="223" t="s">
        <v>2125</v>
      </c>
      <c r="C383" s="223" t="s">
        <v>2027</v>
      </c>
      <c r="D383" s="224">
        <v>0</v>
      </c>
      <c r="E383" s="223"/>
      <c r="F383" s="223"/>
      <c r="G383" s="223"/>
      <c r="H383" s="210">
        <v>39555</v>
      </c>
      <c r="I383" s="197" t="str">
        <f t="shared" si="5"/>
        <v>DEDUCT ACTUAL INSURANCE PROCEEDS - LS</v>
      </c>
    </row>
    <row r="384" spans="1:9" ht="26.4">
      <c r="A384" s="225" t="s">
        <v>2124</v>
      </c>
      <c r="B384" s="223" t="s">
        <v>2123</v>
      </c>
      <c r="C384" s="223" t="s">
        <v>2027</v>
      </c>
      <c r="D384" s="224">
        <v>0</v>
      </c>
      <c r="E384" s="223"/>
      <c r="F384" s="223"/>
      <c r="G384" s="223"/>
      <c r="H384" s="210">
        <v>39555</v>
      </c>
      <c r="I384" s="197" t="str">
        <f t="shared" si="5"/>
        <v>DEDUCT ANTICIPATED INSURANCE PROCEEDS - LS</v>
      </c>
    </row>
    <row r="385" spans="1:9" ht="26.4">
      <c r="A385" s="225" t="s">
        <v>2122</v>
      </c>
      <c r="B385" s="223" t="s">
        <v>2121</v>
      </c>
      <c r="C385" s="223" t="s">
        <v>2027</v>
      </c>
      <c r="D385" s="224">
        <v>0</v>
      </c>
      <c r="E385" s="223"/>
      <c r="F385" s="223"/>
      <c r="G385" s="223"/>
      <c r="H385" s="210">
        <v>39555</v>
      </c>
      <c r="I385" s="197" t="str">
        <f t="shared" si="5"/>
        <v>MANDATORY NFIP REDUCTION - MAXIMUM PROCEEDS AVAILABLE - LS</v>
      </c>
    </row>
    <row r="386" spans="1:9" ht="26.4">
      <c r="A386" s="225" t="s">
        <v>2120</v>
      </c>
      <c r="B386" s="223" t="s">
        <v>2119</v>
      </c>
      <c r="C386" s="223" t="s">
        <v>2027</v>
      </c>
      <c r="D386" s="224">
        <v>0</v>
      </c>
      <c r="E386" s="223"/>
      <c r="F386" s="223"/>
      <c r="G386" s="223"/>
      <c r="H386" s="210">
        <v>39555</v>
      </c>
      <c r="I386" s="197" t="str">
        <f t="shared" si="5"/>
        <v>PREVIOUS DISASTER INSURANCE PURCHASE REQUIREMENT - LS</v>
      </c>
    </row>
    <row r="387" spans="1:9" ht="26.4">
      <c r="A387" s="225" t="s">
        <v>2118</v>
      </c>
      <c r="B387" s="223" t="s">
        <v>2117</v>
      </c>
      <c r="C387" s="223" t="s">
        <v>1938</v>
      </c>
      <c r="D387" s="224">
        <v>0</v>
      </c>
      <c r="E387" s="223"/>
      <c r="F387" s="223"/>
      <c r="G387" s="223"/>
      <c r="H387" s="210">
        <v>39555</v>
      </c>
      <c r="I387" s="197" t="str">
        <f t="shared" si="5"/>
        <v>DEDUCT ACTUAL FLOOD INSURANCE PROCEEDS - LS</v>
      </c>
    </row>
    <row r="388" spans="1:9" ht="26.4">
      <c r="A388" s="225" t="s">
        <v>2116</v>
      </c>
      <c r="B388" s="223" t="s">
        <v>2115</v>
      </c>
      <c r="C388" s="223" t="s">
        <v>1938</v>
      </c>
      <c r="D388" s="224">
        <v>0</v>
      </c>
      <c r="E388" s="223"/>
      <c r="F388" s="223"/>
      <c r="G388" s="223"/>
      <c r="H388" s="210">
        <v>39555</v>
      </c>
      <c r="I388" s="197" t="str">
        <f t="shared" ref="I388:I451" si="6">IF(B388="","",B388)</f>
        <v>DEDUCT ANTICIPATED FLOOD INSURANCE PROCEEDS - LS</v>
      </c>
    </row>
    <row r="389" spans="1:9" ht="26.4">
      <c r="A389" s="213" t="s">
        <v>2114</v>
      </c>
      <c r="B389" s="211" t="s">
        <v>2113</v>
      </c>
      <c r="C389" s="211" t="s">
        <v>2027</v>
      </c>
      <c r="D389" s="212">
        <v>0</v>
      </c>
      <c r="E389" s="211"/>
      <c r="F389" s="211"/>
      <c r="G389" s="211"/>
      <c r="H389" s="210" t="s">
        <v>2026</v>
      </c>
      <c r="I389" s="197" t="str">
        <f t="shared" si="6"/>
        <v>RESTORE PREVIOUS INSURANCE REDUCTION</v>
      </c>
    </row>
    <row r="390" spans="1:9">
      <c r="A390" s="213" t="s">
        <v>2112</v>
      </c>
      <c r="B390" s="211" t="s">
        <v>2111</v>
      </c>
      <c r="C390" s="211" t="s">
        <v>1834</v>
      </c>
      <c r="D390" s="212">
        <v>1.5</v>
      </c>
      <c r="E390" s="211"/>
      <c r="F390" s="211"/>
      <c r="G390" s="211"/>
      <c r="H390" s="210">
        <v>39555</v>
      </c>
      <c r="I390" s="197" t="str">
        <f t="shared" si="6"/>
        <v>SEWER CLEANING (UNDER 18")</v>
      </c>
    </row>
    <row r="391" spans="1:9">
      <c r="A391" s="213" t="s">
        <v>2110</v>
      </c>
      <c r="B391" s="211" t="s">
        <v>2109</v>
      </c>
      <c r="C391" s="211" t="s">
        <v>1834</v>
      </c>
      <c r="D391" s="212">
        <v>5</v>
      </c>
      <c r="E391" s="211"/>
      <c r="F391" s="211"/>
      <c r="G391" s="211"/>
      <c r="H391" s="210">
        <v>39555</v>
      </c>
      <c r="I391" s="197" t="str">
        <f t="shared" si="6"/>
        <v>SEWER CLEANING (18" - 36")</v>
      </c>
    </row>
    <row r="392" spans="1:9">
      <c r="A392" s="213" t="s">
        <v>2108</v>
      </c>
      <c r="B392" s="211" t="s">
        <v>2107</v>
      </c>
      <c r="C392" s="211" t="s">
        <v>1834</v>
      </c>
      <c r="D392" s="212">
        <v>9.5</v>
      </c>
      <c r="E392" s="211"/>
      <c r="F392" s="211"/>
      <c r="G392" s="211"/>
      <c r="H392" s="210">
        <v>39555</v>
      </c>
      <c r="I392" s="197" t="str">
        <f t="shared" si="6"/>
        <v>SEWER CLEANING (36" +)</v>
      </c>
    </row>
    <row r="393" spans="1:9" ht="14.4">
      <c r="A393" s="213" t="s">
        <v>2106</v>
      </c>
      <c r="B393" s="211" t="s">
        <v>2105</v>
      </c>
      <c r="C393" s="211" t="s">
        <v>1834</v>
      </c>
      <c r="D393" s="215">
        <v>0</v>
      </c>
      <c r="E393" s="211"/>
      <c r="F393" s="211"/>
      <c r="G393" s="211"/>
      <c r="H393" s="217">
        <v>40878</v>
      </c>
      <c r="I393" s="197" t="str">
        <f t="shared" si="6"/>
        <v>TV INSPECT</v>
      </c>
    </row>
    <row r="394" spans="1:9" ht="14.4">
      <c r="A394" s="213" t="s">
        <v>2104</v>
      </c>
      <c r="B394" s="211" t="s">
        <v>2103</v>
      </c>
      <c r="C394" s="211" t="s">
        <v>1806</v>
      </c>
      <c r="D394" s="212">
        <v>50</v>
      </c>
      <c r="E394" s="211"/>
      <c r="F394" s="211"/>
      <c r="G394" s="211"/>
      <c r="H394" s="217">
        <v>39555</v>
      </c>
      <c r="I394" s="197" t="str">
        <f t="shared" si="6"/>
        <v>CATCH BASIN CLEANING</v>
      </c>
    </row>
    <row r="395" spans="1:9" ht="14.4">
      <c r="A395" s="213" t="s">
        <v>2102</v>
      </c>
      <c r="B395" s="211" t="s">
        <v>2101</v>
      </c>
      <c r="C395" s="211" t="s">
        <v>1806</v>
      </c>
      <c r="D395" s="212">
        <v>150</v>
      </c>
      <c r="E395" s="211"/>
      <c r="F395" s="211"/>
      <c r="G395" s="211"/>
      <c r="H395" s="217">
        <v>39555</v>
      </c>
      <c r="I395" s="197" t="str">
        <f t="shared" si="6"/>
        <v>SEWER TAP (6")</v>
      </c>
    </row>
    <row r="396" spans="1:9" ht="14.4">
      <c r="A396" s="213" t="s">
        <v>2100</v>
      </c>
      <c r="B396" s="211" t="s">
        <v>2099</v>
      </c>
      <c r="C396" s="211" t="s">
        <v>1806</v>
      </c>
      <c r="D396" s="212">
        <v>320</v>
      </c>
      <c r="E396" s="211"/>
      <c r="F396" s="211"/>
      <c r="G396" s="211"/>
      <c r="H396" s="217">
        <v>39555</v>
      </c>
      <c r="I396" s="197" t="str">
        <f t="shared" si="6"/>
        <v>SEWER TAP (12")</v>
      </c>
    </row>
    <row r="397" spans="1:9" ht="14.4">
      <c r="A397" s="213" t="s">
        <v>2098</v>
      </c>
      <c r="B397" s="211" t="s">
        <v>2097</v>
      </c>
      <c r="C397" s="211" t="s">
        <v>1806</v>
      </c>
      <c r="D397" s="212">
        <v>400</v>
      </c>
      <c r="E397" s="211"/>
      <c r="F397" s="211"/>
      <c r="G397" s="211"/>
      <c r="H397" s="217">
        <v>39555</v>
      </c>
      <c r="I397" s="197" t="str">
        <f t="shared" si="6"/>
        <v>SEWER TAP (18")</v>
      </c>
    </row>
    <row r="398" spans="1:9" ht="14.4">
      <c r="A398" s="213" t="s">
        <v>2096</v>
      </c>
      <c r="B398" s="211" t="s">
        <v>2095</v>
      </c>
      <c r="C398" s="211" t="s">
        <v>1806</v>
      </c>
      <c r="D398" s="212">
        <v>464</v>
      </c>
      <c r="E398" s="211"/>
      <c r="F398" s="211"/>
      <c r="G398" s="211"/>
      <c r="H398" s="217">
        <v>39555</v>
      </c>
      <c r="I398" s="197" t="str">
        <f t="shared" si="6"/>
        <v>SEWER TAP (24")</v>
      </c>
    </row>
    <row r="399" spans="1:9" ht="14.4">
      <c r="A399" s="213" t="s">
        <v>2094</v>
      </c>
      <c r="B399" s="211" t="s">
        <v>2093</v>
      </c>
      <c r="C399" s="211" t="s">
        <v>1806</v>
      </c>
      <c r="D399" s="215">
        <v>0</v>
      </c>
      <c r="E399" s="211"/>
      <c r="F399" s="211"/>
      <c r="G399" s="211"/>
      <c r="H399" s="217">
        <v>40878</v>
      </c>
      <c r="I399" s="197" t="str">
        <f t="shared" si="6"/>
        <v>DEWATERING  DEEP WELL</v>
      </c>
    </row>
    <row r="400" spans="1:9" ht="26.4">
      <c r="A400" s="213" t="s">
        <v>2092</v>
      </c>
      <c r="B400" s="211" t="s">
        <v>2091</v>
      </c>
      <c r="C400" s="211" t="s">
        <v>2090</v>
      </c>
      <c r="D400" s="212">
        <v>500</v>
      </c>
      <c r="E400" s="211"/>
      <c r="F400" s="211"/>
      <c r="G400" s="211"/>
      <c r="H400" s="210">
        <v>39555</v>
      </c>
      <c r="I400" s="197" t="str">
        <f t="shared" si="6"/>
        <v>PUMPING  BY-PASS (DURING CONSTRUCTION)</v>
      </c>
    </row>
    <row r="401" spans="1:9" ht="26.4">
      <c r="A401" s="213" t="s">
        <v>2089</v>
      </c>
      <c r="B401" s="211" t="s">
        <v>2088</v>
      </c>
      <c r="C401" s="211" t="s">
        <v>1876</v>
      </c>
      <c r="D401" s="212">
        <v>6.5</v>
      </c>
      <c r="E401" s="211"/>
      <c r="F401" s="211"/>
      <c r="G401" s="211"/>
      <c r="H401" s="210">
        <v>39555</v>
      </c>
      <c r="I401" s="197" t="str">
        <f t="shared" si="6"/>
        <v>PILING  STEEL SHEET  PULL &amp; SALVAGE (15' DEEP 22 PSF)</v>
      </c>
    </row>
    <row r="402" spans="1:9" ht="26.4">
      <c r="A402" s="213" t="s">
        <v>2087</v>
      </c>
      <c r="B402" s="211" t="s">
        <v>2086</v>
      </c>
      <c r="C402" s="211" t="s">
        <v>1876</v>
      </c>
      <c r="D402" s="212">
        <v>7</v>
      </c>
      <c r="E402" s="211"/>
      <c r="F402" s="211"/>
      <c r="G402" s="211"/>
      <c r="H402" s="210">
        <v>39555</v>
      </c>
      <c r="I402" s="197" t="str">
        <f t="shared" si="6"/>
        <v>PILING  STEEL SHEET  PULL &amp; SALVAGE (20' DEEP 27 PSF)</v>
      </c>
    </row>
    <row r="403" spans="1:9" ht="26.4">
      <c r="A403" s="213" t="s">
        <v>2085</v>
      </c>
      <c r="B403" s="211" t="s">
        <v>2084</v>
      </c>
      <c r="C403" s="211" t="s">
        <v>1876</v>
      </c>
      <c r="D403" s="212">
        <v>8</v>
      </c>
      <c r="E403" s="211"/>
      <c r="F403" s="211"/>
      <c r="G403" s="211"/>
      <c r="H403" s="210">
        <v>39555</v>
      </c>
      <c r="I403" s="197" t="str">
        <f t="shared" si="6"/>
        <v>PILING  STEEL SHEET  PULL &amp; SALVAGE (25' DEEP 38 PSF)</v>
      </c>
    </row>
    <row r="404" spans="1:9" ht="26.4">
      <c r="A404" s="213" t="s">
        <v>2083</v>
      </c>
      <c r="B404" s="211" t="s">
        <v>2082</v>
      </c>
      <c r="C404" s="211" t="s">
        <v>1876</v>
      </c>
      <c r="D404" s="219">
        <v>5.68</v>
      </c>
      <c r="E404" s="211"/>
      <c r="F404" s="211"/>
      <c r="G404" s="211"/>
      <c r="H404" s="217">
        <v>40878</v>
      </c>
      <c r="I404" s="197" t="str">
        <f t="shared" si="6"/>
        <v>PILING  WOOD SHEET  LEFT IN PLACE (10' DEEP)</v>
      </c>
    </row>
    <row r="405" spans="1:9" ht="26.4">
      <c r="A405" s="213" t="s">
        <v>2081</v>
      </c>
      <c r="B405" s="211" t="s">
        <v>2080</v>
      </c>
      <c r="C405" s="211" t="s">
        <v>1876</v>
      </c>
      <c r="D405" s="219">
        <v>7.8</v>
      </c>
      <c r="E405" s="211"/>
      <c r="F405" s="211"/>
      <c r="G405" s="211"/>
      <c r="H405" s="217">
        <v>40878</v>
      </c>
      <c r="I405" s="197" t="str">
        <f t="shared" si="6"/>
        <v>PILING  WOOD SHEET  LEFT IN PLACE (16' DEEP)</v>
      </c>
    </row>
    <row r="406" spans="1:9" ht="26.4">
      <c r="A406" s="213" t="s">
        <v>2079</v>
      </c>
      <c r="B406" s="211" t="s">
        <v>2078</v>
      </c>
      <c r="C406" s="211" t="s">
        <v>1876</v>
      </c>
      <c r="D406" s="219">
        <v>8.32</v>
      </c>
      <c r="E406" s="211"/>
      <c r="F406" s="211"/>
      <c r="G406" s="211"/>
      <c r="H406" s="217">
        <v>40878</v>
      </c>
      <c r="I406" s="197" t="str">
        <f t="shared" si="6"/>
        <v>PILING  WOOD SHEET  LEFT IN PLACE (20' DEEP)</v>
      </c>
    </row>
    <row r="407" spans="1:9">
      <c r="A407" s="213" t="s">
        <v>2077</v>
      </c>
      <c r="B407" s="211" t="s">
        <v>2076</v>
      </c>
      <c r="C407" s="211" t="s">
        <v>1806</v>
      </c>
      <c r="D407" s="212">
        <v>1800</v>
      </c>
      <c r="E407" s="211"/>
      <c r="F407" s="211"/>
      <c r="G407" s="211"/>
      <c r="H407" s="210">
        <v>39555</v>
      </c>
      <c r="I407" s="197" t="str">
        <f t="shared" si="6"/>
        <v>SEWER LINE MANHOLE (48")</v>
      </c>
    </row>
    <row r="408" spans="1:9">
      <c r="A408" s="213" t="s">
        <v>2075</v>
      </c>
      <c r="B408" s="211" t="s">
        <v>2074</v>
      </c>
      <c r="C408" s="211" t="s">
        <v>1806</v>
      </c>
      <c r="D408" s="212">
        <v>2500</v>
      </c>
      <c r="E408" s="211"/>
      <c r="F408" s="211"/>
      <c r="G408" s="211"/>
      <c r="H408" s="210">
        <v>39555</v>
      </c>
      <c r="I408" s="197" t="str">
        <f t="shared" si="6"/>
        <v>SEWER LINE MANHOLE (54")</v>
      </c>
    </row>
    <row r="409" spans="1:9">
      <c r="A409" s="213" t="s">
        <v>2073</v>
      </c>
      <c r="B409" s="211" t="s">
        <v>2072</v>
      </c>
      <c r="C409" s="211" t="s">
        <v>1806</v>
      </c>
      <c r="D409" s="212">
        <v>3000</v>
      </c>
      <c r="E409" s="211"/>
      <c r="F409" s="211"/>
      <c r="G409" s="211"/>
      <c r="H409" s="210">
        <v>39555</v>
      </c>
      <c r="I409" s="197" t="str">
        <f t="shared" si="6"/>
        <v>SEWER LINE MANHOLE (78")</v>
      </c>
    </row>
    <row r="410" spans="1:9" ht="26.4">
      <c r="A410" s="213" t="s">
        <v>2071</v>
      </c>
      <c r="B410" s="211" t="s">
        <v>2070</v>
      </c>
      <c r="C410" s="211" t="s">
        <v>1806</v>
      </c>
      <c r="D410" s="212">
        <v>120</v>
      </c>
      <c r="E410" s="211"/>
      <c r="F410" s="211"/>
      <c r="G410" s="211"/>
      <c r="H410" s="210">
        <v>39555</v>
      </c>
      <c r="I410" s="197" t="str">
        <f t="shared" si="6"/>
        <v>WATER LINE  INDIVIDUAL - REMOVE AND REPLACE</v>
      </c>
    </row>
    <row r="411" spans="1:9" ht="14.4">
      <c r="A411" s="213" t="s">
        <v>2069</v>
      </c>
      <c r="B411" s="211" t="s">
        <v>2068</v>
      </c>
      <c r="C411" s="211" t="s">
        <v>1806</v>
      </c>
      <c r="D411" s="215">
        <v>0</v>
      </c>
      <c r="E411" s="211"/>
      <c r="F411" s="211"/>
      <c r="G411" s="211"/>
      <c r="H411" s="217">
        <v>40878</v>
      </c>
      <c r="I411" s="197" t="str">
        <f t="shared" si="6"/>
        <v>FIRE HYDRANT ADJUSTMENT</v>
      </c>
    </row>
    <row r="412" spans="1:9">
      <c r="A412" s="213" t="s">
        <v>2067</v>
      </c>
      <c r="B412" s="211" t="s">
        <v>2066</v>
      </c>
      <c r="C412" s="211" t="s">
        <v>1806</v>
      </c>
      <c r="D412" s="212">
        <v>1250</v>
      </c>
      <c r="E412" s="211"/>
      <c r="F412" s="211"/>
      <c r="G412" s="211"/>
      <c r="H412" s="210">
        <v>39555</v>
      </c>
      <c r="I412" s="197" t="str">
        <f t="shared" si="6"/>
        <v>FIRE HYDRANT</v>
      </c>
    </row>
    <row r="413" spans="1:9" ht="14.4">
      <c r="A413" s="213" t="s">
        <v>2065</v>
      </c>
      <c r="B413" s="211" t="s">
        <v>2064</v>
      </c>
      <c r="C413" s="211" t="s">
        <v>1806</v>
      </c>
      <c r="D413" s="215">
        <v>420</v>
      </c>
      <c r="E413" s="211"/>
      <c r="F413" s="211"/>
      <c r="G413" s="211"/>
      <c r="H413" s="217">
        <v>40878</v>
      </c>
      <c r="I413" s="197" t="str">
        <f t="shared" si="6"/>
        <v>GATE VALVE (6")</v>
      </c>
    </row>
    <row r="414" spans="1:9">
      <c r="A414" s="213" t="s">
        <v>2063</v>
      </c>
      <c r="B414" s="211" t="s">
        <v>2062</v>
      </c>
      <c r="C414" s="211" t="s">
        <v>1806</v>
      </c>
      <c r="D414" s="212">
        <v>600</v>
      </c>
      <c r="E414" s="211"/>
      <c r="F414" s="211"/>
      <c r="G414" s="211"/>
      <c r="H414" s="210">
        <v>39555</v>
      </c>
      <c r="I414" s="197" t="str">
        <f t="shared" si="6"/>
        <v>GATE VALVE (8")</v>
      </c>
    </row>
    <row r="415" spans="1:9">
      <c r="A415" s="213" t="s">
        <v>2061</v>
      </c>
      <c r="B415" s="211" t="s">
        <v>2060</v>
      </c>
      <c r="C415" s="211" t="s">
        <v>1806</v>
      </c>
      <c r="D415" s="212">
        <v>1000</v>
      </c>
      <c r="E415" s="211"/>
      <c r="F415" s="211"/>
      <c r="G415" s="211"/>
      <c r="H415" s="210">
        <v>39555</v>
      </c>
      <c r="I415" s="197" t="str">
        <f t="shared" si="6"/>
        <v>GATE VALVE (12")</v>
      </c>
    </row>
    <row r="416" spans="1:9">
      <c r="A416" s="213" t="s">
        <v>2059</v>
      </c>
      <c r="B416" s="211" t="s">
        <v>2058</v>
      </c>
      <c r="C416" s="211" t="s">
        <v>1806</v>
      </c>
      <c r="D416" s="212">
        <v>3000</v>
      </c>
      <c r="E416" s="211"/>
      <c r="F416" s="211"/>
      <c r="G416" s="211"/>
      <c r="H416" s="210">
        <v>39555</v>
      </c>
      <c r="I416" s="197" t="str">
        <f t="shared" si="6"/>
        <v>GATE VALVE (16")</v>
      </c>
    </row>
    <row r="417" spans="1:9" ht="26.4">
      <c r="A417" s="213" t="s">
        <v>2057</v>
      </c>
      <c r="B417" s="211" t="s">
        <v>2056</v>
      </c>
      <c r="C417" s="211" t="s">
        <v>1834</v>
      </c>
      <c r="D417" s="212">
        <v>100</v>
      </c>
      <c r="E417" s="211"/>
      <c r="F417" s="211"/>
      <c r="G417" s="211"/>
      <c r="H417" s="210">
        <v>39555</v>
      </c>
      <c r="I417" s="197" t="str">
        <f t="shared" si="6"/>
        <v>SEWER LINE REPAIR 8" CONCRETE (0 - 10' DEPTH)</v>
      </c>
    </row>
    <row r="418" spans="1:9" ht="26.4">
      <c r="A418" s="213" t="s">
        <v>2055</v>
      </c>
      <c r="B418" s="211" t="s">
        <v>2054</v>
      </c>
      <c r="C418" s="211" t="s">
        <v>1834</v>
      </c>
      <c r="D418" s="212">
        <v>125</v>
      </c>
      <c r="E418" s="211"/>
      <c r="F418" s="211"/>
      <c r="G418" s="211"/>
      <c r="H418" s="210">
        <v>39555</v>
      </c>
      <c r="I418" s="197" t="str">
        <f t="shared" si="6"/>
        <v>SEWER LINE REPAIR 8" CONCRETE (10' - 20' DEPTH)</v>
      </c>
    </row>
    <row r="419" spans="1:9" ht="26.4">
      <c r="A419" s="213" t="s">
        <v>2053</v>
      </c>
      <c r="B419" s="211" t="s">
        <v>2052</v>
      </c>
      <c r="C419" s="211" t="s">
        <v>1834</v>
      </c>
      <c r="D419" s="212">
        <v>130</v>
      </c>
      <c r="E419" s="211"/>
      <c r="F419" s="211"/>
      <c r="G419" s="211"/>
      <c r="H419" s="210">
        <v>39555</v>
      </c>
      <c r="I419" s="197" t="str">
        <f t="shared" si="6"/>
        <v>SEWER LINE REPAIR 10" CONCRETE (0 - 10' DEPTH)</v>
      </c>
    </row>
    <row r="420" spans="1:9" ht="26.4">
      <c r="A420" s="213" t="s">
        <v>2051</v>
      </c>
      <c r="B420" s="211" t="s">
        <v>2050</v>
      </c>
      <c r="C420" s="211" t="s">
        <v>1834</v>
      </c>
      <c r="D420" s="212">
        <v>145</v>
      </c>
      <c r="E420" s="211"/>
      <c r="F420" s="211"/>
      <c r="G420" s="211"/>
      <c r="H420" s="210">
        <v>39555</v>
      </c>
      <c r="I420" s="197" t="str">
        <f t="shared" si="6"/>
        <v>SEWER LINE REPAIR 10" CONCRETE (10' - 20' DEPTH)</v>
      </c>
    </row>
    <row r="421" spans="1:9" ht="26.4">
      <c r="A421" s="213" t="s">
        <v>2049</v>
      </c>
      <c r="B421" s="211" t="s">
        <v>2048</v>
      </c>
      <c r="C421" s="211" t="s">
        <v>1834</v>
      </c>
      <c r="D421" s="212">
        <v>175</v>
      </c>
      <c r="E421" s="211"/>
      <c r="F421" s="211"/>
      <c r="G421" s="211"/>
      <c r="H421" s="210">
        <v>39555</v>
      </c>
      <c r="I421" s="197" t="str">
        <f t="shared" si="6"/>
        <v>SEWER LINE REPAIR 12" CONCRETE (0 - 10' DEPTH)</v>
      </c>
    </row>
    <row r="422" spans="1:9" ht="26.4">
      <c r="A422" s="213" t="s">
        <v>2047</v>
      </c>
      <c r="B422" s="211" t="s">
        <v>2046</v>
      </c>
      <c r="C422" s="211" t="s">
        <v>1834</v>
      </c>
      <c r="D422" s="212">
        <v>200</v>
      </c>
      <c r="E422" s="211"/>
      <c r="F422" s="211"/>
      <c r="G422" s="211"/>
      <c r="H422" s="210">
        <v>39555</v>
      </c>
      <c r="I422" s="197" t="str">
        <f t="shared" si="6"/>
        <v>SEWER LINE REPAIR 12" CONCRETE (10' - 20' DEPTH)</v>
      </c>
    </row>
    <row r="423" spans="1:9" ht="26.4">
      <c r="A423" s="213" t="s">
        <v>2045</v>
      </c>
      <c r="B423" s="211" t="s">
        <v>2044</v>
      </c>
      <c r="C423" s="211" t="s">
        <v>1834</v>
      </c>
      <c r="D423" s="212">
        <v>215</v>
      </c>
      <c r="E423" s="211"/>
      <c r="F423" s="211"/>
      <c r="G423" s="211"/>
      <c r="H423" s="210">
        <v>39555</v>
      </c>
      <c r="I423" s="197" t="str">
        <f t="shared" si="6"/>
        <v>SEWER LINE REPAIR 15" CONCRETE (0 - 10' DEPTH)</v>
      </c>
    </row>
    <row r="424" spans="1:9" ht="26.4">
      <c r="A424" s="213" t="s">
        <v>2043</v>
      </c>
      <c r="B424" s="211" t="s">
        <v>2042</v>
      </c>
      <c r="C424" s="211" t="s">
        <v>1834</v>
      </c>
      <c r="D424" s="212">
        <v>225</v>
      </c>
      <c r="E424" s="211"/>
      <c r="F424" s="211"/>
      <c r="G424" s="211"/>
      <c r="H424" s="210">
        <v>39555</v>
      </c>
      <c r="I424" s="197" t="str">
        <f t="shared" si="6"/>
        <v>SEWER LINE REPAIR 15" CONCRETE (10' - 20' DEPTH)</v>
      </c>
    </row>
    <row r="425" spans="1:9" ht="26.4">
      <c r="A425" s="213" t="s">
        <v>2041</v>
      </c>
      <c r="B425" s="211" t="s">
        <v>2040</v>
      </c>
      <c r="C425" s="211" t="s">
        <v>1834</v>
      </c>
      <c r="D425" s="212">
        <v>230</v>
      </c>
      <c r="E425" s="211"/>
      <c r="F425" s="211"/>
      <c r="G425" s="211"/>
      <c r="H425" s="210">
        <v>39555</v>
      </c>
      <c r="I425" s="197" t="str">
        <f t="shared" si="6"/>
        <v>SEWER LINE REPAIR 18" CONCRETE (0 - 10' DEPTH)</v>
      </c>
    </row>
    <row r="426" spans="1:9" ht="26.4">
      <c r="A426" s="213" t="s">
        <v>2039</v>
      </c>
      <c r="B426" s="211" t="s">
        <v>2038</v>
      </c>
      <c r="C426" s="211" t="s">
        <v>1834</v>
      </c>
      <c r="D426" s="212">
        <v>250</v>
      </c>
      <c r="E426" s="211"/>
      <c r="F426" s="211"/>
      <c r="G426" s="211"/>
      <c r="H426" s="210">
        <v>39555</v>
      </c>
      <c r="I426" s="197" t="str">
        <f t="shared" si="6"/>
        <v>SEWER LINE REPAIR 18" CONCRETE (10' - 20' DEPTH)</v>
      </c>
    </row>
    <row r="427" spans="1:9" ht="26.4">
      <c r="A427" s="213" t="s">
        <v>2037</v>
      </c>
      <c r="B427" s="211" t="s">
        <v>2036</v>
      </c>
      <c r="C427" s="211" t="s">
        <v>1834</v>
      </c>
      <c r="D427" s="212">
        <v>300</v>
      </c>
      <c r="E427" s="211"/>
      <c r="F427" s="211"/>
      <c r="G427" s="211"/>
      <c r="H427" s="210">
        <v>39555</v>
      </c>
      <c r="I427" s="197" t="str">
        <f t="shared" si="6"/>
        <v>SEWER LINE REPAIR 24" CONCRETE (0 - 10' DEPTH)</v>
      </c>
    </row>
    <row r="428" spans="1:9" ht="26.4">
      <c r="A428" s="213" t="s">
        <v>2035</v>
      </c>
      <c r="B428" s="211" t="s">
        <v>2034</v>
      </c>
      <c r="C428" s="211" t="s">
        <v>1834</v>
      </c>
      <c r="D428" s="212">
        <v>350</v>
      </c>
      <c r="E428" s="211"/>
      <c r="F428" s="211"/>
      <c r="G428" s="211"/>
      <c r="H428" s="210">
        <v>39555</v>
      </c>
      <c r="I428" s="197" t="str">
        <f t="shared" si="6"/>
        <v>SEWER LINE REPAIR 24" CONCRETE (10' - 20' DEPTH)</v>
      </c>
    </row>
    <row r="429" spans="1:9" ht="14.4">
      <c r="A429" s="213" t="s">
        <v>2033</v>
      </c>
      <c r="B429" s="211" t="s">
        <v>2032</v>
      </c>
      <c r="C429" s="211" t="s">
        <v>1873</v>
      </c>
      <c r="D429" s="219">
        <v>22.4</v>
      </c>
      <c r="E429" s="211"/>
      <c r="F429" s="211"/>
      <c r="G429" s="211"/>
      <c r="H429" s="217">
        <v>40878</v>
      </c>
      <c r="I429" s="197" t="str">
        <f t="shared" si="6"/>
        <v>EXCAVATION, STRUCTURAL</v>
      </c>
    </row>
    <row r="430" spans="1:9" ht="14.4">
      <c r="A430" s="222" t="s">
        <v>2031</v>
      </c>
      <c r="B430" s="221" t="s">
        <v>2030</v>
      </c>
      <c r="C430" s="221" t="s">
        <v>1873</v>
      </c>
      <c r="D430" s="219">
        <v>5.6</v>
      </c>
      <c r="E430" s="221"/>
      <c r="F430" s="221"/>
      <c r="G430" s="221"/>
      <c r="H430" s="217">
        <v>40878</v>
      </c>
      <c r="I430" s="197" t="str">
        <f t="shared" si="6"/>
        <v>BACKFILL, STRUCTURAL</v>
      </c>
    </row>
    <row r="431" spans="1:9" ht="26.4">
      <c r="A431" s="213" t="s">
        <v>2029</v>
      </c>
      <c r="B431" s="220" t="s">
        <v>2028</v>
      </c>
      <c r="C431" s="211" t="s">
        <v>2027</v>
      </c>
      <c r="D431" s="212">
        <v>0</v>
      </c>
      <c r="E431" s="211"/>
      <c r="F431" s="211"/>
      <c r="G431" s="211"/>
      <c r="H431" s="210" t="s">
        <v>2026</v>
      </c>
      <c r="I431" s="197" t="str">
        <f t="shared" si="6"/>
        <v>ANOTHER TEST CODE OF THE EMERGENCY SYSTEM</v>
      </c>
    </row>
    <row r="432" spans="1:9">
      <c r="A432" s="213" t="s">
        <v>2025</v>
      </c>
      <c r="B432" s="211" t="s">
        <v>2024</v>
      </c>
      <c r="C432" s="211" t="s">
        <v>1873</v>
      </c>
      <c r="D432" s="212">
        <v>150</v>
      </c>
      <c r="E432" s="211"/>
      <c r="F432" s="211"/>
      <c r="G432" s="211"/>
      <c r="H432" s="210">
        <v>39555</v>
      </c>
      <c r="I432" s="197" t="str">
        <f t="shared" si="6"/>
        <v>CONCRETE PAVEMENT (NO RE-BARS)</v>
      </c>
    </row>
    <row r="433" spans="1:9">
      <c r="A433" s="213" t="s">
        <v>2023</v>
      </c>
      <c r="B433" s="211" t="s">
        <v>2022</v>
      </c>
      <c r="C433" s="211" t="s">
        <v>1834</v>
      </c>
      <c r="D433" s="212">
        <v>25</v>
      </c>
      <c r="E433" s="211"/>
      <c r="F433" s="211"/>
      <c r="G433" s="211"/>
      <c r="H433" s="210">
        <v>39555</v>
      </c>
      <c r="I433" s="197" t="str">
        <f t="shared" si="6"/>
        <v>WATER MAIN (10")</v>
      </c>
    </row>
    <row r="434" spans="1:9" ht="14.4">
      <c r="A434" s="216" t="s">
        <v>2021</v>
      </c>
      <c r="B434" s="214" t="s">
        <v>2020</v>
      </c>
      <c r="C434" s="214" t="s">
        <v>1873</v>
      </c>
      <c r="D434" s="215">
        <v>25</v>
      </c>
      <c r="E434" s="214"/>
      <c r="F434" s="214"/>
      <c r="G434" s="214"/>
      <c r="H434" s="217">
        <v>39555</v>
      </c>
      <c r="I434" s="197" t="str">
        <f t="shared" si="6"/>
        <v>BEDDING UNDER PIPE</v>
      </c>
    </row>
    <row r="435" spans="1:9">
      <c r="A435" s="213" t="s">
        <v>2019</v>
      </c>
      <c r="B435" s="211" t="s">
        <v>2018</v>
      </c>
      <c r="C435" s="211" t="s">
        <v>1806</v>
      </c>
      <c r="D435" s="215">
        <v>395</v>
      </c>
      <c r="E435" s="211"/>
      <c r="F435" s="211"/>
      <c r="G435" s="211"/>
      <c r="H435" s="210">
        <v>39555</v>
      </c>
      <c r="I435" s="197" t="str">
        <f t="shared" si="6"/>
        <v>POLE  ELECTRIC (30')</v>
      </c>
    </row>
    <row r="436" spans="1:9">
      <c r="A436" s="213" t="s">
        <v>2017</v>
      </c>
      <c r="B436" s="211" t="s">
        <v>2016</v>
      </c>
      <c r="C436" s="211" t="s">
        <v>1806</v>
      </c>
      <c r="D436" s="212">
        <v>480</v>
      </c>
      <c r="E436" s="211"/>
      <c r="F436" s="211"/>
      <c r="G436" s="211"/>
      <c r="H436" s="210">
        <v>39555</v>
      </c>
      <c r="I436" s="197" t="str">
        <f t="shared" si="6"/>
        <v>POLE  ELECTRIC (35')</v>
      </c>
    </row>
    <row r="437" spans="1:9">
      <c r="A437" s="213" t="s">
        <v>2015</v>
      </c>
      <c r="B437" s="211" t="s">
        <v>2014</v>
      </c>
      <c r="C437" s="211" t="s">
        <v>1806</v>
      </c>
      <c r="D437" s="212">
        <v>515</v>
      </c>
      <c r="E437" s="211"/>
      <c r="F437" s="211"/>
      <c r="G437" s="211"/>
      <c r="H437" s="210">
        <v>39555</v>
      </c>
      <c r="I437" s="197" t="str">
        <f t="shared" si="6"/>
        <v>POLE  ELECTRIC (40')</v>
      </c>
    </row>
    <row r="438" spans="1:9">
      <c r="A438" s="213" t="s">
        <v>2013</v>
      </c>
      <c r="B438" s="211" t="s">
        <v>2012</v>
      </c>
      <c r="C438" s="211" t="s">
        <v>1806</v>
      </c>
      <c r="D438" s="212">
        <v>675</v>
      </c>
      <c r="E438" s="211"/>
      <c r="F438" s="211"/>
      <c r="G438" s="211"/>
      <c r="H438" s="210">
        <v>39555</v>
      </c>
      <c r="I438" s="197" t="str">
        <f t="shared" si="6"/>
        <v>POLE  ELECTRIC (45')</v>
      </c>
    </row>
    <row r="439" spans="1:9">
      <c r="A439" s="213" t="s">
        <v>2011</v>
      </c>
      <c r="B439" s="211" t="s">
        <v>2010</v>
      </c>
      <c r="C439" s="211" t="s">
        <v>1806</v>
      </c>
      <c r="D439" s="212">
        <v>165</v>
      </c>
      <c r="E439" s="211"/>
      <c r="F439" s="211"/>
      <c r="G439" s="211"/>
      <c r="H439" s="210">
        <v>39555</v>
      </c>
      <c r="I439" s="197" t="str">
        <f t="shared" si="6"/>
        <v>TRANSFORMERS  5KVA (COST)</v>
      </c>
    </row>
    <row r="440" spans="1:9">
      <c r="A440" s="213" t="s">
        <v>2009</v>
      </c>
      <c r="B440" s="211" t="s">
        <v>2008</v>
      </c>
      <c r="C440" s="211" t="s">
        <v>1806</v>
      </c>
      <c r="D440" s="212">
        <v>281</v>
      </c>
      <c r="E440" s="211"/>
      <c r="F440" s="211"/>
      <c r="G440" s="211"/>
      <c r="H440" s="210">
        <v>39555</v>
      </c>
      <c r="I440" s="197" t="str">
        <f t="shared" si="6"/>
        <v>TRANSFORMERS 10 KVA (COST)</v>
      </c>
    </row>
    <row r="441" spans="1:9">
      <c r="A441" s="213" t="s">
        <v>2007</v>
      </c>
      <c r="B441" s="211" t="s">
        <v>2006</v>
      </c>
      <c r="C441" s="211" t="s">
        <v>1806</v>
      </c>
      <c r="D441" s="212">
        <v>400</v>
      </c>
      <c r="E441" s="211"/>
      <c r="F441" s="211"/>
      <c r="G441" s="211"/>
      <c r="H441" s="210">
        <v>39555</v>
      </c>
      <c r="I441" s="197" t="str">
        <f t="shared" si="6"/>
        <v>TRANSFORMERS 25 KVA (COST)</v>
      </c>
    </row>
    <row r="442" spans="1:9" ht="26.4">
      <c r="A442" s="216" t="s">
        <v>2005</v>
      </c>
      <c r="B442" s="214" t="s">
        <v>2004</v>
      </c>
      <c r="C442" s="214" t="s">
        <v>1806</v>
      </c>
      <c r="D442" s="215">
        <v>145</v>
      </c>
      <c r="E442" s="214"/>
      <c r="F442" s="214"/>
      <c r="G442" s="214"/>
      <c r="H442" s="217">
        <v>39555</v>
      </c>
      <c r="I442" s="197" t="str">
        <f t="shared" si="6"/>
        <v>ELECTRIC MOTOR (1/2 HP) REMOVE DRY AND REINSTALL</v>
      </c>
    </row>
    <row r="443" spans="1:9" ht="26.4">
      <c r="A443" s="216" t="s">
        <v>2003</v>
      </c>
      <c r="B443" s="214" t="s">
        <v>2002</v>
      </c>
      <c r="C443" s="214" t="s">
        <v>1806</v>
      </c>
      <c r="D443" s="215">
        <v>290</v>
      </c>
      <c r="E443" s="214"/>
      <c r="F443" s="214"/>
      <c r="G443" s="214"/>
      <c r="H443" s="217">
        <v>39555</v>
      </c>
      <c r="I443" s="197" t="str">
        <f t="shared" si="6"/>
        <v>ELECTRIC MOTOR (7 1/2 HP) REMOVE DRY AND REINSTALL</v>
      </c>
    </row>
    <row r="444" spans="1:9" ht="26.4">
      <c r="A444" s="216" t="s">
        <v>2001</v>
      </c>
      <c r="B444" s="214" t="s">
        <v>2000</v>
      </c>
      <c r="C444" s="214" t="s">
        <v>1806</v>
      </c>
      <c r="D444" s="215">
        <v>625</v>
      </c>
      <c r="E444" s="214"/>
      <c r="F444" s="214"/>
      <c r="G444" s="214"/>
      <c r="H444" s="217">
        <v>39555</v>
      </c>
      <c r="I444" s="197" t="str">
        <f t="shared" si="6"/>
        <v>ELECTRIC MOTOR (15 HP) REMOVE DRY AND REINSTALL</v>
      </c>
    </row>
    <row r="445" spans="1:9" ht="26.4">
      <c r="A445" s="213" t="s">
        <v>1999</v>
      </c>
      <c r="B445" s="211" t="s">
        <v>1998</v>
      </c>
      <c r="C445" s="211" t="s">
        <v>1806</v>
      </c>
      <c r="D445" s="212">
        <v>300</v>
      </c>
      <c r="E445" s="211"/>
      <c r="F445" s="211"/>
      <c r="G445" s="211"/>
      <c r="H445" s="210">
        <v>39555</v>
      </c>
      <c r="I445" s="197" t="str">
        <f t="shared" si="6"/>
        <v>ELECTRIC MOTOR (60 HP) REMOVE, DRY AND REINSTALL</v>
      </c>
    </row>
    <row r="446" spans="1:9">
      <c r="A446" s="213" t="s">
        <v>1997</v>
      </c>
      <c r="B446" s="211" t="s">
        <v>1996</v>
      </c>
      <c r="C446" s="211" t="s">
        <v>1806</v>
      </c>
      <c r="D446" s="212">
        <v>125</v>
      </c>
      <c r="E446" s="211"/>
      <c r="F446" s="211"/>
      <c r="G446" s="211"/>
      <c r="H446" s="210">
        <v>39555</v>
      </c>
      <c r="I446" s="197" t="str">
        <f t="shared" si="6"/>
        <v>CROSS ARMS WITH HARDWARE (4')</v>
      </c>
    </row>
    <row r="447" spans="1:9">
      <c r="A447" s="213" t="s">
        <v>1995</v>
      </c>
      <c r="B447" s="211" t="s">
        <v>1994</v>
      </c>
      <c r="C447" s="211" t="s">
        <v>1806</v>
      </c>
      <c r="D447" s="212">
        <v>135</v>
      </c>
      <c r="E447" s="211"/>
      <c r="F447" s="211"/>
      <c r="G447" s="211"/>
      <c r="H447" s="210">
        <v>39555</v>
      </c>
      <c r="I447" s="197" t="str">
        <f t="shared" si="6"/>
        <v>CROSS ARMS WITH HARDWARE (5')</v>
      </c>
    </row>
    <row r="448" spans="1:9">
      <c r="A448" s="213" t="s">
        <v>1993</v>
      </c>
      <c r="B448" s="211" t="s">
        <v>1992</v>
      </c>
      <c r="C448" s="211" t="s">
        <v>1806</v>
      </c>
      <c r="D448" s="212">
        <v>150</v>
      </c>
      <c r="E448" s="211"/>
      <c r="F448" s="211"/>
      <c r="G448" s="211"/>
      <c r="H448" s="210">
        <v>39555</v>
      </c>
      <c r="I448" s="197" t="str">
        <f t="shared" si="6"/>
        <v>CROSS ARMS WITH HARDWARE (6')</v>
      </c>
    </row>
    <row r="449" spans="1:9">
      <c r="A449" s="213" t="s">
        <v>1991</v>
      </c>
      <c r="B449" s="211" t="s">
        <v>1990</v>
      </c>
      <c r="C449" s="211" t="s">
        <v>1806</v>
      </c>
      <c r="D449" s="212">
        <v>40</v>
      </c>
      <c r="E449" s="211"/>
      <c r="F449" s="211"/>
      <c r="G449" s="211"/>
      <c r="H449" s="210">
        <v>39555</v>
      </c>
      <c r="I449" s="197" t="str">
        <f t="shared" si="6"/>
        <v>ELECTRIC METERS (HOUSE)</v>
      </c>
    </row>
    <row r="450" spans="1:9" ht="26.4">
      <c r="A450" s="213" t="s">
        <v>1989</v>
      </c>
      <c r="B450" s="211" t="s">
        <v>1988</v>
      </c>
      <c r="C450" s="211" t="s">
        <v>1806</v>
      </c>
      <c r="D450" s="215">
        <v>10</v>
      </c>
      <c r="E450" s="211"/>
      <c r="F450" s="211"/>
      <c r="G450" s="211"/>
      <c r="H450" s="210">
        <v>39462</v>
      </c>
      <c r="I450" s="197" t="str">
        <f t="shared" si="6"/>
        <v>ELECTRICAL RECEPTACLE, DOUBLE; REPLACE</v>
      </c>
    </row>
    <row r="451" spans="1:9" ht="14.4">
      <c r="A451" s="213" t="s">
        <v>1987</v>
      </c>
      <c r="B451" s="211" t="s">
        <v>1986</v>
      </c>
      <c r="C451" s="211" t="s">
        <v>1806</v>
      </c>
      <c r="D451" s="218">
        <v>17.5</v>
      </c>
      <c r="E451" s="211"/>
      <c r="F451" s="211"/>
      <c r="G451" s="211"/>
      <c r="H451" s="217">
        <v>40878</v>
      </c>
      <c r="I451" s="197" t="str">
        <f t="shared" si="6"/>
        <v>ELECTRICAL RECEPTACLE; 220V; REPLACE</v>
      </c>
    </row>
    <row r="452" spans="1:9" ht="14.4">
      <c r="A452" s="213" t="s">
        <v>1985</v>
      </c>
      <c r="B452" s="211" t="s">
        <v>1984</v>
      </c>
      <c r="C452" s="211" t="s">
        <v>1806</v>
      </c>
      <c r="D452" s="218">
        <v>9</v>
      </c>
      <c r="E452" s="211"/>
      <c r="F452" s="211"/>
      <c r="G452" s="211"/>
      <c r="H452" s="217">
        <v>40878</v>
      </c>
      <c r="I452" s="197" t="str">
        <f t="shared" ref="I452:I515" si="7">IF(B452="","",B452)</f>
        <v>ELECTRICAL WALL SWITCHES; REPLACE</v>
      </c>
    </row>
    <row r="453" spans="1:9" ht="26.4">
      <c r="A453" s="213" t="s">
        <v>1983</v>
      </c>
      <c r="B453" s="211" t="s">
        <v>1982</v>
      </c>
      <c r="C453" s="211" t="s">
        <v>1806</v>
      </c>
      <c r="D453" s="218">
        <v>65</v>
      </c>
      <c r="E453" s="211"/>
      <c r="F453" s="211"/>
      <c r="G453" s="211"/>
      <c r="H453" s="217">
        <v>40878</v>
      </c>
      <c r="I453" s="197" t="str">
        <f t="shared" si="7"/>
        <v>ELECTRICAL, MAIN PANEL; CLEAN AND REPAIR</v>
      </c>
    </row>
    <row r="454" spans="1:9" ht="26.4">
      <c r="A454" s="213" t="s">
        <v>1981</v>
      </c>
      <c r="B454" s="211" t="s">
        <v>1980</v>
      </c>
      <c r="C454" s="211" t="s">
        <v>1806</v>
      </c>
      <c r="D454" s="218">
        <v>336</v>
      </c>
      <c r="E454" s="211"/>
      <c r="F454" s="211"/>
      <c r="G454" s="211"/>
      <c r="H454" s="217">
        <v>40878</v>
      </c>
      <c r="I454" s="197" t="str">
        <f t="shared" si="7"/>
        <v>ELECTRICAL, MAIN BREAKER PANEL, 220 AMPS; REPLACE</v>
      </c>
    </row>
    <row r="455" spans="1:9" ht="26.4">
      <c r="A455" s="213" t="s">
        <v>1979</v>
      </c>
      <c r="B455" s="211" t="s">
        <v>1978</v>
      </c>
      <c r="C455" s="211" t="s">
        <v>1806</v>
      </c>
      <c r="D455" s="218">
        <v>288</v>
      </c>
      <c r="E455" s="211"/>
      <c r="F455" s="211"/>
      <c r="G455" s="211"/>
      <c r="H455" s="217">
        <v>40878</v>
      </c>
      <c r="I455" s="197" t="str">
        <f t="shared" si="7"/>
        <v>ELECTRICAL, MAIN BREAKER PANEL; 100 AMPS; REPLACE</v>
      </c>
    </row>
    <row r="456" spans="1:9" ht="26.4">
      <c r="A456" s="213" t="s">
        <v>1977</v>
      </c>
      <c r="B456" s="211" t="s">
        <v>1976</v>
      </c>
      <c r="C456" s="211" t="s">
        <v>1806</v>
      </c>
      <c r="D456" s="212">
        <v>250</v>
      </c>
      <c r="E456" s="211"/>
      <c r="F456" s="211"/>
      <c r="G456" s="211"/>
      <c r="H456" s="210">
        <v>39462</v>
      </c>
      <c r="I456" s="197" t="str">
        <f t="shared" si="7"/>
        <v>ELECTRICAL, SERVICE ENTRANCE; REPLACE</v>
      </c>
    </row>
    <row r="457" spans="1:9">
      <c r="A457" s="213" t="s">
        <v>1975</v>
      </c>
      <c r="B457" s="211" t="s">
        <v>1974</v>
      </c>
      <c r="C457" s="211" t="s">
        <v>1806</v>
      </c>
      <c r="D457" s="212">
        <v>320</v>
      </c>
      <c r="E457" s="211"/>
      <c r="F457" s="211"/>
      <c r="G457" s="211"/>
      <c r="H457" s="210">
        <v>39555</v>
      </c>
      <c r="I457" s="197" t="str">
        <f t="shared" si="7"/>
        <v>PUMP &amp; MOTOR REPAIR (2 HP)</v>
      </c>
    </row>
    <row r="458" spans="1:9">
      <c r="A458" s="213" t="s">
        <v>1973</v>
      </c>
      <c r="B458" s="211" t="s">
        <v>1972</v>
      </c>
      <c r="C458" s="211" t="s">
        <v>1806</v>
      </c>
      <c r="D458" s="212">
        <v>500</v>
      </c>
      <c r="E458" s="211"/>
      <c r="F458" s="211"/>
      <c r="G458" s="211"/>
      <c r="H458" s="210">
        <v>39555</v>
      </c>
      <c r="I458" s="197" t="str">
        <f t="shared" si="7"/>
        <v>PUMP AND MOTOR REPAIR (5 HP)</v>
      </c>
    </row>
    <row r="459" spans="1:9">
      <c r="A459" s="213" t="s">
        <v>1971</v>
      </c>
      <c r="B459" s="211" t="s">
        <v>1970</v>
      </c>
      <c r="C459" s="211" t="s">
        <v>1806</v>
      </c>
      <c r="D459" s="212">
        <v>800</v>
      </c>
      <c r="E459" s="211"/>
      <c r="F459" s="211"/>
      <c r="G459" s="211"/>
      <c r="H459" s="210">
        <v>39555</v>
      </c>
      <c r="I459" s="197" t="str">
        <f t="shared" si="7"/>
        <v>PUMP AND MOTOR REPAIR (10 HP)</v>
      </c>
    </row>
    <row r="460" spans="1:9">
      <c r="A460" s="213" t="s">
        <v>1969</v>
      </c>
      <c r="B460" s="211" t="s">
        <v>1968</v>
      </c>
      <c r="C460" s="211" t="s">
        <v>1806</v>
      </c>
      <c r="D460" s="212">
        <v>1100</v>
      </c>
      <c r="E460" s="211"/>
      <c r="F460" s="211"/>
      <c r="G460" s="211"/>
      <c r="H460" s="210">
        <v>39555</v>
      </c>
      <c r="I460" s="197" t="str">
        <f t="shared" si="7"/>
        <v>PUMP AND MOTOR REPAIR (15 HP)</v>
      </c>
    </row>
    <row r="461" spans="1:9">
      <c r="A461" s="213" t="s">
        <v>1967</v>
      </c>
      <c r="B461" s="211" t="s">
        <v>1966</v>
      </c>
      <c r="C461" s="211" t="s">
        <v>1834</v>
      </c>
      <c r="D461" s="212">
        <v>6</v>
      </c>
      <c r="E461" s="211"/>
      <c r="F461" s="211"/>
      <c r="G461" s="211"/>
      <c r="H461" s="210">
        <v>39469</v>
      </c>
      <c r="I461" s="197" t="str">
        <f t="shared" si="7"/>
        <v>PIPE, D. I., 4" (MATERIAL ONLY)</v>
      </c>
    </row>
    <row r="462" spans="1:9">
      <c r="A462" s="213" t="s">
        <v>1965</v>
      </c>
      <c r="B462" s="211" t="s">
        <v>1964</v>
      </c>
      <c r="C462" s="211" t="s">
        <v>1834</v>
      </c>
      <c r="D462" s="212">
        <v>6.5</v>
      </c>
      <c r="E462" s="211"/>
      <c r="F462" s="211"/>
      <c r="G462" s="211"/>
      <c r="H462" s="210">
        <v>39469</v>
      </c>
      <c r="I462" s="197" t="str">
        <f t="shared" si="7"/>
        <v>PIPE, D. I., 6" (MATERIAL ONLY)</v>
      </c>
    </row>
    <row r="463" spans="1:9">
      <c r="A463" s="213" t="s">
        <v>1963</v>
      </c>
      <c r="B463" s="211" t="s">
        <v>1962</v>
      </c>
      <c r="C463" s="211" t="s">
        <v>1834</v>
      </c>
      <c r="D463" s="212">
        <v>8.25</v>
      </c>
      <c r="E463" s="211"/>
      <c r="F463" s="211"/>
      <c r="G463" s="211"/>
      <c r="H463" s="210">
        <v>39469</v>
      </c>
      <c r="I463" s="197" t="str">
        <f t="shared" si="7"/>
        <v>PIPE, D. I., 8" ( MATERIAL ONLY)</v>
      </c>
    </row>
    <row r="464" spans="1:9">
      <c r="A464" s="213" t="s">
        <v>1961</v>
      </c>
      <c r="B464" s="211" t="s">
        <v>1960</v>
      </c>
      <c r="C464" s="211" t="s">
        <v>1834</v>
      </c>
      <c r="D464" s="212">
        <v>75</v>
      </c>
      <c r="E464" s="211"/>
      <c r="F464" s="211"/>
      <c r="G464" s="211"/>
      <c r="H464" s="210">
        <v>39469</v>
      </c>
      <c r="I464" s="197" t="str">
        <f t="shared" si="7"/>
        <v>PIPE, D. I., 4"  FLX JT (RIVER)</v>
      </c>
    </row>
    <row r="465" spans="1:9">
      <c r="A465" s="213" t="s">
        <v>1959</v>
      </c>
      <c r="B465" s="211" t="s">
        <v>1958</v>
      </c>
      <c r="C465" s="211" t="s">
        <v>1834</v>
      </c>
      <c r="D465" s="212">
        <v>150</v>
      </c>
      <c r="E465" s="211"/>
      <c r="F465" s="211"/>
      <c r="G465" s="211"/>
      <c r="H465" s="210">
        <v>39469</v>
      </c>
      <c r="I465" s="197" t="str">
        <f t="shared" si="7"/>
        <v>PIPE, D. I., 12" FLX JT (RIVER)</v>
      </c>
    </row>
    <row r="466" spans="1:9">
      <c r="A466" s="213" t="s">
        <v>1957</v>
      </c>
      <c r="B466" s="211" t="s">
        <v>1956</v>
      </c>
      <c r="C466" s="211" t="s">
        <v>1834</v>
      </c>
      <c r="D466" s="212">
        <v>350</v>
      </c>
      <c r="E466" s="211"/>
      <c r="F466" s="211"/>
      <c r="G466" s="211"/>
      <c r="H466" s="210">
        <v>39469</v>
      </c>
      <c r="I466" s="197" t="str">
        <f t="shared" si="7"/>
        <v>PIPE, D. I., 18" FLX JT (RIVER)</v>
      </c>
    </row>
    <row r="467" spans="1:9">
      <c r="A467" s="213" t="s">
        <v>1955</v>
      </c>
      <c r="B467" s="211" t="s">
        <v>1954</v>
      </c>
      <c r="C467" s="211" t="s">
        <v>1834</v>
      </c>
      <c r="D467" s="212">
        <v>500</v>
      </c>
      <c r="E467" s="211"/>
      <c r="F467" s="211"/>
      <c r="G467" s="211"/>
      <c r="H467" s="210">
        <v>39469</v>
      </c>
      <c r="I467" s="197" t="str">
        <f t="shared" si="7"/>
        <v>PIPE, 36" PRESTRESS CONC (RIVER)</v>
      </c>
    </row>
    <row r="468" spans="1:9" ht="14.4">
      <c r="A468" s="213" t="s">
        <v>1953</v>
      </c>
      <c r="B468" s="211" t="s">
        <v>1952</v>
      </c>
      <c r="C468" s="211" t="s">
        <v>1834</v>
      </c>
      <c r="D468" s="218">
        <v>2.08</v>
      </c>
      <c r="E468" s="211"/>
      <c r="F468" s="211"/>
      <c r="G468" s="211"/>
      <c r="H468" s="217">
        <v>40878</v>
      </c>
      <c r="I468" s="197" t="str">
        <f t="shared" si="7"/>
        <v>PIPE, PVC, CLASS 200, 2"</v>
      </c>
    </row>
    <row r="469" spans="1:9" ht="14.4">
      <c r="A469" s="213" t="s">
        <v>1951</v>
      </c>
      <c r="B469" s="211" t="s">
        <v>1950</v>
      </c>
      <c r="C469" s="211" t="s">
        <v>1834</v>
      </c>
      <c r="D469" s="218">
        <v>5.89</v>
      </c>
      <c r="E469" s="211"/>
      <c r="F469" s="211"/>
      <c r="G469" s="211"/>
      <c r="H469" s="217">
        <v>40878</v>
      </c>
      <c r="I469" s="197" t="str">
        <f t="shared" si="7"/>
        <v>PIPE, PVC, CLASS 200, 4"</v>
      </c>
    </row>
    <row r="470" spans="1:9" ht="14.4">
      <c r="A470" s="213" t="s">
        <v>1949</v>
      </c>
      <c r="B470" s="211" t="s">
        <v>1948</v>
      </c>
      <c r="C470" s="211" t="s">
        <v>1834</v>
      </c>
      <c r="D470" s="218">
        <v>11.93</v>
      </c>
      <c r="E470" s="211"/>
      <c r="F470" s="211"/>
      <c r="G470" s="211"/>
      <c r="H470" s="217">
        <v>40878</v>
      </c>
      <c r="I470" s="197" t="str">
        <f t="shared" si="7"/>
        <v>PIPE, PVC, CLASS 200, 6"</v>
      </c>
    </row>
    <row r="471" spans="1:9" ht="14.4">
      <c r="A471" s="213" t="s">
        <v>1947</v>
      </c>
      <c r="B471" s="211" t="s">
        <v>1946</v>
      </c>
      <c r="C471" s="211" t="s">
        <v>1834</v>
      </c>
      <c r="D471" s="218">
        <v>14.76</v>
      </c>
      <c r="E471" s="211"/>
      <c r="F471" s="211"/>
      <c r="G471" s="211"/>
      <c r="H471" s="217">
        <v>40878</v>
      </c>
      <c r="I471" s="197" t="str">
        <f t="shared" si="7"/>
        <v>PIPE, PVC, CLASS 200, 8"</v>
      </c>
    </row>
    <row r="472" spans="1:9" ht="14.4">
      <c r="A472" s="213" t="s">
        <v>1945</v>
      </c>
      <c r="B472" s="211" t="s">
        <v>1944</v>
      </c>
      <c r="C472" s="211" t="s">
        <v>1834</v>
      </c>
      <c r="D472" s="218">
        <v>1.51</v>
      </c>
      <c r="E472" s="211"/>
      <c r="F472" s="211"/>
      <c r="G472" s="211"/>
      <c r="H472" s="217">
        <v>40878</v>
      </c>
      <c r="I472" s="197" t="str">
        <f t="shared" si="7"/>
        <v>TV CABLE</v>
      </c>
    </row>
    <row r="473" spans="1:9" ht="14.4">
      <c r="A473" s="213" t="s">
        <v>1943</v>
      </c>
      <c r="B473" s="211" t="s">
        <v>1942</v>
      </c>
      <c r="C473" s="211" t="s">
        <v>1834</v>
      </c>
      <c r="D473" s="218">
        <v>3.64</v>
      </c>
      <c r="E473" s="211"/>
      <c r="F473" s="211"/>
      <c r="G473" s="211"/>
      <c r="H473" s="217">
        <v>40878</v>
      </c>
      <c r="I473" s="197" t="str">
        <f t="shared" si="7"/>
        <v>FIBER OPTIC CABLE</v>
      </c>
    </row>
    <row r="474" spans="1:9" ht="26.4">
      <c r="A474" s="213" t="s">
        <v>1941</v>
      </c>
      <c r="B474" s="211" t="s">
        <v>1939</v>
      </c>
      <c r="C474" s="211" t="s">
        <v>1885</v>
      </c>
      <c r="D474" s="212">
        <v>0.11</v>
      </c>
      <c r="E474" s="211"/>
      <c r="F474" s="211"/>
      <c r="G474" s="211"/>
      <c r="H474" s="210">
        <v>39555</v>
      </c>
      <c r="I474" s="197" t="str">
        <f t="shared" si="7"/>
        <v>RESEED GRASSLANDS  SCARIFY  FERTILIZE</v>
      </c>
    </row>
    <row r="475" spans="1:9" ht="26.4">
      <c r="A475" s="213" t="s">
        <v>1940</v>
      </c>
      <c r="B475" s="211" t="s">
        <v>1939</v>
      </c>
      <c r="C475" s="211" t="s">
        <v>1938</v>
      </c>
      <c r="D475" s="215">
        <v>450</v>
      </c>
      <c r="E475" s="211"/>
      <c r="F475" s="211"/>
      <c r="G475" s="211"/>
      <c r="H475" s="217">
        <v>40878</v>
      </c>
      <c r="I475" s="197" t="str">
        <f t="shared" si="7"/>
        <v>RESEED GRASSLANDS  SCARIFY  FERTILIZE</v>
      </c>
    </row>
    <row r="476" spans="1:9" ht="14.4">
      <c r="A476" s="216" t="s">
        <v>1937</v>
      </c>
      <c r="B476" s="214" t="s">
        <v>1936</v>
      </c>
      <c r="C476" s="214" t="s">
        <v>1885</v>
      </c>
      <c r="D476" s="215">
        <v>1.1499999999999999</v>
      </c>
      <c r="E476" s="214"/>
      <c r="F476" s="214"/>
      <c r="G476" s="214"/>
      <c r="H476" s="217">
        <v>39555</v>
      </c>
      <c r="I476" s="197" t="str">
        <f t="shared" si="7"/>
        <v>TOP SOIL AND SEEDING (HYDR.)</v>
      </c>
    </row>
    <row r="477" spans="1:9">
      <c r="A477" s="213" t="s">
        <v>1935</v>
      </c>
      <c r="B477" s="211" t="s">
        <v>1934</v>
      </c>
      <c r="C477" s="211" t="s">
        <v>1806</v>
      </c>
      <c r="D477" s="212">
        <v>125</v>
      </c>
      <c r="E477" s="211"/>
      <c r="F477" s="211"/>
      <c r="G477" s="211"/>
      <c r="H477" s="210">
        <v>39555</v>
      </c>
      <c r="I477" s="197" t="str">
        <f t="shared" si="7"/>
        <v>TREE (1 1/2" - 2 1/2") REPLACEMENT</v>
      </c>
    </row>
    <row r="478" spans="1:9">
      <c r="A478" s="213" t="s">
        <v>1933</v>
      </c>
      <c r="B478" s="211" t="s">
        <v>1932</v>
      </c>
      <c r="C478" s="211" t="s">
        <v>1806</v>
      </c>
      <c r="D478" s="212">
        <v>25</v>
      </c>
      <c r="E478" s="211"/>
      <c r="F478" s="211"/>
      <c r="G478" s="211"/>
      <c r="H478" s="210">
        <v>39462</v>
      </c>
      <c r="I478" s="197" t="str">
        <f t="shared" si="7"/>
        <v>SHRUBS (1 GAL)</v>
      </c>
    </row>
    <row r="479" spans="1:9">
      <c r="A479" s="213" t="s">
        <v>1931</v>
      </c>
      <c r="B479" s="211" t="s">
        <v>1930</v>
      </c>
      <c r="C479" s="211" t="s">
        <v>1873</v>
      </c>
      <c r="D479" s="212">
        <v>10</v>
      </c>
      <c r="E479" s="211"/>
      <c r="F479" s="211"/>
      <c r="G479" s="211"/>
      <c r="H479" s="210">
        <v>39555</v>
      </c>
      <c r="I479" s="197" t="str">
        <f t="shared" si="7"/>
        <v>FILL ROOT CRATERS</v>
      </c>
    </row>
    <row r="480" spans="1:9" ht="26.4">
      <c r="A480" s="213" t="s">
        <v>1929</v>
      </c>
      <c r="B480" s="211" t="s">
        <v>1928</v>
      </c>
      <c r="C480" s="211" t="s">
        <v>1876</v>
      </c>
      <c r="D480" s="219">
        <v>10.3</v>
      </c>
      <c r="E480" s="211"/>
      <c r="F480" s="211"/>
      <c r="G480" s="211"/>
      <c r="H480" s="217">
        <v>40878</v>
      </c>
      <c r="I480" s="197" t="str">
        <f t="shared" si="7"/>
        <v>BASEBALL BACKSTOP REPLACEMENT, COMPLETE</v>
      </c>
    </row>
    <row r="481" spans="1:9" ht="14.4">
      <c r="A481" s="213" t="s">
        <v>1927</v>
      </c>
      <c r="B481" s="211" t="s">
        <v>1926</v>
      </c>
      <c r="C481" s="211" t="s">
        <v>1834</v>
      </c>
      <c r="D481" s="219">
        <v>18.04</v>
      </c>
      <c r="E481" s="211"/>
      <c r="F481" s="211"/>
      <c r="G481" s="211"/>
      <c r="H481" s="217">
        <v>40878</v>
      </c>
      <c r="I481" s="197" t="str">
        <f t="shared" si="7"/>
        <v>FENCE,  CHAIN LINK, TENNIS COURT, 12' HT</v>
      </c>
    </row>
    <row r="482" spans="1:9" ht="26.4">
      <c r="A482" s="213" t="s">
        <v>1925</v>
      </c>
      <c r="B482" s="211" t="s">
        <v>1924</v>
      </c>
      <c r="C482" s="211" t="s">
        <v>1876</v>
      </c>
      <c r="D482" s="212">
        <v>7</v>
      </c>
      <c r="E482" s="211"/>
      <c r="F482" s="211"/>
      <c r="G482" s="211"/>
      <c r="H482" s="210">
        <v>39559</v>
      </c>
      <c r="I482" s="197" t="str">
        <f t="shared" si="7"/>
        <v>ROOF  (SMALL STRUCTURE) REPLACEMENT, INCLUDES FRAMING</v>
      </c>
    </row>
    <row r="483" spans="1:9" ht="39.6">
      <c r="A483" s="213" t="s">
        <v>1923</v>
      </c>
      <c r="B483" s="211" t="s">
        <v>1922</v>
      </c>
      <c r="C483" s="211" t="s">
        <v>1806</v>
      </c>
      <c r="D483" s="212">
        <v>45</v>
      </c>
      <c r="E483" s="211"/>
      <c r="F483" s="211"/>
      <c r="G483" s="211"/>
      <c r="H483" s="210">
        <v>39559</v>
      </c>
      <c r="I483" s="197" t="str">
        <f t="shared" si="7"/>
        <v>BLEACHERS  GRANDSTAND  REPLACEMENT, MORE THAN 16 TIER, PER SEAT</v>
      </c>
    </row>
    <row r="484" spans="1:9" ht="26.4">
      <c r="A484" s="213" t="s">
        <v>1921</v>
      </c>
      <c r="B484" s="211" t="s">
        <v>1920</v>
      </c>
      <c r="C484" s="211" t="s">
        <v>1834</v>
      </c>
      <c r="D484" s="219">
        <v>10.039999999999999</v>
      </c>
      <c r="E484" s="211"/>
      <c r="F484" s="211"/>
      <c r="G484" s="211"/>
      <c r="H484" s="217">
        <v>40878</v>
      </c>
      <c r="I484" s="197" t="str">
        <f t="shared" si="7"/>
        <v>FENCE  CHAIN LINK PERIMETER (5'), 2" LINE POSTS</v>
      </c>
    </row>
    <row r="485" spans="1:9" ht="26.4">
      <c r="A485" s="213" t="s">
        <v>1919</v>
      </c>
      <c r="B485" s="211" t="s">
        <v>1918</v>
      </c>
      <c r="C485" s="211" t="s">
        <v>1834</v>
      </c>
      <c r="D485" s="219">
        <v>12.18</v>
      </c>
      <c r="E485" s="211"/>
      <c r="F485" s="211"/>
      <c r="G485" s="211"/>
      <c r="H485" s="217">
        <v>40878</v>
      </c>
      <c r="I485" s="197" t="str">
        <f t="shared" si="7"/>
        <v>FENCE  CHAIN LINK PERIMETER (6'), 2" LINE POSTS</v>
      </c>
    </row>
    <row r="486" spans="1:9" ht="26.4">
      <c r="A486" s="213" t="s">
        <v>1917</v>
      </c>
      <c r="B486" s="211" t="s">
        <v>1916</v>
      </c>
      <c r="C486" s="211" t="s">
        <v>1834</v>
      </c>
      <c r="D486" s="219">
        <v>15</v>
      </c>
      <c r="E486" s="211"/>
      <c r="F486" s="211"/>
      <c r="G486" s="211"/>
      <c r="H486" s="217">
        <v>40878</v>
      </c>
      <c r="I486" s="197" t="str">
        <f t="shared" si="7"/>
        <v>FENCE  CHAIN LINK PERIMETER (8'), 2 3/8" LINE POSTS</v>
      </c>
    </row>
    <row r="487" spans="1:9" ht="26.4">
      <c r="A487" s="213" t="s">
        <v>1915</v>
      </c>
      <c r="B487" s="211" t="s">
        <v>1914</v>
      </c>
      <c r="C487" s="211" t="s">
        <v>1834</v>
      </c>
      <c r="D487" s="219">
        <v>18.03</v>
      </c>
      <c r="E487" s="211"/>
      <c r="F487" s="211"/>
      <c r="G487" s="211"/>
      <c r="H487" s="217">
        <v>40878</v>
      </c>
      <c r="I487" s="197" t="str">
        <f t="shared" si="7"/>
        <v>FENCE  CHAIN LINK PERIMETER (10'), 2 3/8" LINE POSTS</v>
      </c>
    </row>
    <row r="488" spans="1:9">
      <c r="A488" s="213" t="s">
        <v>1913</v>
      </c>
      <c r="B488" s="211" t="s">
        <v>1912</v>
      </c>
      <c r="C488" s="211" t="s">
        <v>1834</v>
      </c>
      <c r="D488" s="215">
        <v>2.5</v>
      </c>
      <c r="E488" s="211"/>
      <c r="F488" s="211"/>
      <c r="G488" s="211"/>
      <c r="H488" s="210">
        <v>39559</v>
      </c>
      <c r="I488" s="197" t="str">
        <f t="shared" si="7"/>
        <v>FENCE REMOVAL</v>
      </c>
    </row>
    <row r="489" spans="1:9" ht="14.4">
      <c r="A489" s="213" t="s">
        <v>1911</v>
      </c>
      <c r="B489" s="211" t="s">
        <v>1910</v>
      </c>
      <c r="C489" s="211" t="s">
        <v>1806</v>
      </c>
      <c r="D489" s="219">
        <v>183</v>
      </c>
      <c r="E489" s="211"/>
      <c r="F489" s="211"/>
      <c r="G489" s="211"/>
      <c r="H489" s="217">
        <v>40878</v>
      </c>
      <c r="I489" s="197" t="str">
        <f t="shared" si="7"/>
        <v>FENCE  CHAIN LINK GATES (5')</v>
      </c>
    </row>
    <row r="490" spans="1:9" ht="14.4">
      <c r="A490" s="213" t="s">
        <v>1909</v>
      </c>
      <c r="B490" s="211" t="s">
        <v>1908</v>
      </c>
      <c r="C490" s="211" t="s">
        <v>1806</v>
      </c>
      <c r="D490" s="219">
        <v>200</v>
      </c>
      <c r="E490" s="211"/>
      <c r="F490" s="211"/>
      <c r="G490" s="211"/>
      <c r="H490" s="217">
        <v>40878</v>
      </c>
      <c r="I490" s="197" t="str">
        <f t="shared" si="7"/>
        <v>FENCE  CHAIN LINK GATES (6')</v>
      </c>
    </row>
    <row r="491" spans="1:9" ht="14.4">
      <c r="A491" s="213" t="s">
        <v>1907</v>
      </c>
      <c r="B491" s="211" t="s">
        <v>1906</v>
      </c>
      <c r="C491" s="211" t="s">
        <v>1806</v>
      </c>
      <c r="D491" s="219">
        <v>228</v>
      </c>
      <c r="E491" s="211"/>
      <c r="F491" s="211"/>
      <c r="G491" s="211"/>
      <c r="H491" s="217">
        <v>40878</v>
      </c>
      <c r="I491" s="197" t="str">
        <f t="shared" si="7"/>
        <v>FENCE  CHAIN LINK GATES (8')</v>
      </c>
    </row>
    <row r="492" spans="1:9" ht="14.4">
      <c r="A492" s="213" t="s">
        <v>1905</v>
      </c>
      <c r="B492" s="211" t="s">
        <v>1904</v>
      </c>
      <c r="C492" s="211" t="s">
        <v>1806</v>
      </c>
      <c r="D492" s="219">
        <v>246</v>
      </c>
      <c r="E492" s="211"/>
      <c r="F492" s="211"/>
      <c r="G492" s="211"/>
      <c r="H492" s="217">
        <v>40878</v>
      </c>
      <c r="I492" s="197" t="str">
        <f t="shared" si="7"/>
        <v>FENCE  CHAIN LINK GATES (10')</v>
      </c>
    </row>
    <row r="493" spans="1:9">
      <c r="A493" s="213" t="s">
        <v>1903</v>
      </c>
      <c r="B493" s="211" t="s">
        <v>1902</v>
      </c>
      <c r="C493" s="211" t="s">
        <v>1806</v>
      </c>
      <c r="D493" s="215">
        <v>130</v>
      </c>
      <c r="E493" s="211"/>
      <c r="F493" s="211"/>
      <c r="G493" s="211"/>
      <c r="H493" s="210">
        <v>39559</v>
      </c>
      <c r="I493" s="197" t="str">
        <f t="shared" si="7"/>
        <v>TABLES  PICNIC  REPLACEMENT</v>
      </c>
    </row>
    <row r="494" spans="1:9" ht="26.4">
      <c r="A494" s="213" t="s">
        <v>1901</v>
      </c>
      <c r="B494" s="211" t="s">
        <v>1900</v>
      </c>
      <c r="C494" s="211" t="s">
        <v>1806</v>
      </c>
      <c r="D494" s="215">
        <v>165</v>
      </c>
      <c r="E494" s="211"/>
      <c r="F494" s="211"/>
      <c r="G494" s="211"/>
      <c r="H494" s="210">
        <v>39559</v>
      </c>
      <c r="I494" s="197" t="str">
        <f t="shared" si="7"/>
        <v>BENCH  PARK (STEEL FRAME/WOOD 10') REPLACEMENT</v>
      </c>
    </row>
    <row r="495" spans="1:9" ht="14.4">
      <c r="A495" s="213" t="s">
        <v>1899</v>
      </c>
      <c r="B495" s="211" t="s">
        <v>1898</v>
      </c>
      <c r="C495" s="211" t="s">
        <v>1806</v>
      </c>
      <c r="D495" s="219">
        <v>28</v>
      </c>
      <c r="E495" s="211"/>
      <c r="F495" s="211"/>
      <c r="G495" s="211"/>
      <c r="H495" s="217">
        <v>40878</v>
      </c>
      <c r="I495" s="197" t="str">
        <f t="shared" si="7"/>
        <v>TRASH BARREL REPLACEMENT</v>
      </c>
    </row>
    <row r="496" spans="1:9" ht="26.4">
      <c r="A496" s="213" t="s">
        <v>1897</v>
      </c>
      <c r="B496" s="211" t="s">
        <v>1896</v>
      </c>
      <c r="C496" s="211" t="s">
        <v>1806</v>
      </c>
      <c r="D496" s="218">
        <v>552</v>
      </c>
      <c r="E496" s="211"/>
      <c r="F496" s="211"/>
      <c r="G496" s="211"/>
      <c r="H496" s="217">
        <v>40878</v>
      </c>
      <c r="I496" s="197" t="str">
        <f t="shared" si="7"/>
        <v>SWING SET (8' HIGH  4 SEAT) REPLACEMENT</v>
      </c>
    </row>
    <row r="497" spans="1:9" ht="14.4">
      <c r="A497" s="213" t="s">
        <v>1895</v>
      </c>
      <c r="B497" s="211" t="s">
        <v>1894</v>
      </c>
      <c r="C497" s="211" t="s">
        <v>1806</v>
      </c>
      <c r="D497" s="219">
        <v>750</v>
      </c>
      <c r="E497" s="211"/>
      <c r="F497" s="211"/>
      <c r="G497" s="211"/>
      <c r="H497" s="217">
        <v>40878</v>
      </c>
      <c r="I497" s="197" t="str">
        <f t="shared" si="7"/>
        <v>SLIDE (12' LONG  6' HIGH) REPLACEMENT</v>
      </c>
    </row>
    <row r="498" spans="1:9">
      <c r="A498" s="213" t="s">
        <v>1893</v>
      </c>
      <c r="B498" s="211" t="s">
        <v>1892</v>
      </c>
      <c r="C498" s="211" t="s">
        <v>1806</v>
      </c>
      <c r="D498" s="212">
        <v>90</v>
      </c>
      <c r="E498" s="211"/>
      <c r="F498" s="211"/>
      <c r="G498" s="211"/>
      <c r="H498" s="210">
        <v>39559</v>
      </c>
      <c r="I498" s="197" t="str">
        <f t="shared" si="7"/>
        <v>GRILL  OUTDOOR  REPLACEMENT</v>
      </c>
    </row>
    <row r="499" spans="1:9" ht="14.4">
      <c r="A499" s="213" t="s">
        <v>1891</v>
      </c>
      <c r="B499" s="211" t="s">
        <v>1890</v>
      </c>
      <c r="C499" s="211" t="s">
        <v>1876</v>
      </c>
      <c r="D499" s="215">
        <v>18</v>
      </c>
      <c r="E499" s="211"/>
      <c r="F499" s="211"/>
      <c r="G499" s="211"/>
      <c r="H499" s="217">
        <v>40878</v>
      </c>
      <c r="I499" s="197" t="str">
        <f t="shared" si="7"/>
        <v>DOCK  WOOD PILE SUPPORT (2" DECK)</v>
      </c>
    </row>
    <row r="500" spans="1:9" ht="14.4">
      <c r="A500" s="213" t="s">
        <v>1889</v>
      </c>
      <c r="B500" s="211" t="s">
        <v>1888</v>
      </c>
      <c r="C500" s="211" t="s">
        <v>1876</v>
      </c>
      <c r="D500" s="215">
        <v>12</v>
      </c>
      <c r="E500" s="211"/>
      <c r="F500" s="211"/>
      <c r="G500" s="211"/>
      <c r="H500" s="217">
        <v>40878</v>
      </c>
      <c r="I500" s="197" t="str">
        <f t="shared" si="7"/>
        <v>DOCK  FLOATING (PREFAB)</v>
      </c>
    </row>
    <row r="501" spans="1:9" ht="14.4">
      <c r="A501" s="213" t="s">
        <v>1887</v>
      </c>
      <c r="B501" s="211" t="s">
        <v>1886</v>
      </c>
      <c r="C501" s="211" t="s">
        <v>1885</v>
      </c>
      <c r="D501" s="215">
        <v>3</v>
      </c>
      <c r="E501" s="211"/>
      <c r="F501" s="211"/>
      <c r="G501" s="211"/>
      <c r="H501" s="217">
        <v>39559</v>
      </c>
      <c r="I501" s="197" t="str">
        <f t="shared" si="7"/>
        <v>SOD REPLACEMENT</v>
      </c>
    </row>
    <row r="502" spans="1:9" ht="14.4">
      <c r="A502" s="213" t="s">
        <v>1884</v>
      </c>
      <c r="B502" s="211" t="s">
        <v>1883</v>
      </c>
      <c r="C502" s="211" t="s">
        <v>1806</v>
      </c>
      <c r="D502" s="215">
        <v>27</v>
      </c>
      <c r="E502" s="211"/>
      <c r="F502" s="211"/>
      <c r="G502" s="211"/>
      <c r="H502" s="217">
        <v>40878</v>
      </c>
      <c r="I502" s="197" t="str">
        <f t="shared" si="7"/>
        <v>POSTS  GUARD (4" WOOD) REPLACEMENT</v>
      </c>
    </row>
    <row r="503" spans="1:9">
      <c r="A503" s="213" t="s">
        <v>1882</v>
      </c>
      <c r="B503" s="211" t="s">
        <v>1881</v>
      </c>
      <c r="C503" s="211" t="s">
        <v>1806</v>
      </c>
      <c r="D503" s="215">
        <v>100</v>
      </c>
      <c r="E503" s="211"/>
      <c r="F503" s="211"/>
      <c r="G503" s="211"/>
      <c r="H503" s="210">
        <v>39559</v>
      </c>
      <c r="I503" s="197" t="str">
        <f t="shared" si="7"/>
        <v>PUMP OUT TOILET VAULTS</v>
      </c>
    </row>
    <row r="504" spans="1:9" ht="14.4">
      <c r="A504" s="213" t="s">
        <v>1880</v>
      </c>
      <c r="B504" s="211" t="s">
        <v>1879</v>
      </c>
      <c r="C504" s="211" t="s">
        <v>1876</v>
      </c>
      <c r="D504" s="215">
        <v>18</v>
      </c>
      <c r="E504" s="211"/>
      <c r="F504" s="211"/>
      <c r="G504" s="211"/>
      <c r="H504" s="217">
        <v>40878</v>
      </c>
      <c r="I504" s="197" t="str">
        <f t="shared" si="7"/>
        <v>SIGNS  WOOD (PAINTED LETTERS)</v>
      </c>
    </row>
    <row r="505" spans="1:9" ht="14.4">
      <c r="A505" s="213" t="s">
        <v>1878</v>
      </c>
      <c r="B505" s="211" t="s">
        <v>1877</v>
      </c>
      <c r="C505" s="211" t="s">
        <v>1876</v>
      </c>
      <c r="D505" s="215">
        <v>36</v>
      </c>
      <c r="E505" s="211"/>
      <c r="F505" s="211"/>
      <c r="G505" s="211"/>
      <c r="H505" s="217">
        <v>40878</v>
      </c>
      <c r="I505" s="197" t="str">
        <f t="shared" si="7"/>
        <v>SIGNS  WOOD (ROUTERED LETTERS)</v>
      </c>
    </row>
    <row r="506" spans="1:9">
      <c r="A506" s="213" t="s">
        <v>1875</v>
      </c>
      <c r="B506" s="211" t="s">
        <v>1874</v>
      </c>
      <c r="C506" s="211" t="s">
        <v>1873</v>
      </c>
      <c r="D506" s="212">
        <v>22</v>
      </c>
      <c r="E506" s="211"/>
      <c r="F506" s="211"/>
      <c r="G506" s="211"/>
      <c r="H506" s="210">
        <v>39559</v>
      </c>
      <c r="I506" s="197" t="str">
        <f t="shared" si="7"/>
        <v>STONE DUST (FOR BASEBALL DIAMONDS)</v>
      </c>
    </row>
    <row r="507" spans="1:9" ht="14.4">
      <c r="A507" s="213" t="s">
        <v>1872</v>
      </c>
      <c r="B507" s="211" t="s">
        <v>1871</v>
      </c>
      <c r="C507" s="211" t="s">
        <v>1834</v>
      </c>
      <c r="D507" s="215">
        <v>4.88</v>
      </c>
      <c r="E507" s="211"/>
      <c r="F507" s="211"/>
      <c r="G507" s="211"/>
      <c r="H507" s="217">
        <v>40878</v>
      </c>
      <c r="I507" s="197" t="str">
        <f t="shared" si="7"/>
        <v>FENCE, BARBED WIRE 4 STRAND</v>
      </c>
    </row>
    <row r="508" spans="1:9">
      <c r="A508" s="213" t="s">
        <v>1870</v>
      </c>
      <c r="B508" s="211" t="s">
        <v>1869</v>
      </c>
      <c r="C508" s="211" t="s">
        <v>1834</v>
      </c>
      <c r="D508" s="215">
        <v>8.49</v>
      </c>
      <c r="E508" s="211"/>
      <c r="F508" s="211"/>
      <c r="G508" s="211"/>
      <c r="H508" s="210">
        <v>39469</v>
      </c>
      <c r="I508" s="197" t="str">
        <f t="shared" si="7"/>
        <v>FENCE, BOARD 6'</v>
      </c>
    </row>
    <row r="509" spans="1:9" ht="14.4">
      <c r="A509" s="213" t="s">
        <v>1868</v>
      </c>
      <c r="B509" s="211" t="s">
        <v>1867</v>
      </c>
      <c r="C509" s="211" t="s">
        <v>1834</v>
      </c>
      <c r="D509" s="215">
        <v>7</v>
      </c>
      <c r="E509" s="211"/>
      <c r="F509" s="211"/>
      <c r="G509" s="211"/>
      <c r="H509" s="217">
        <v>40878</v>
      </c>
      <c r="I509" s="197" t="str">
        <f t="shared" si="7"/>
        <v>FENCE (CHAINLINK),  REPAIR 10'</v>
      </c>
    </row>
    <row r="510" spans="1:9" ht="14.4">
      <c r="A510" s="213" t="s">
        <v>1866</v>
      </c>
      <c r="B510" s="211" t="s">
        <v>1865</v>
      </c>
      <c r="C510" s="211" t="s">
        <v>1834</v>
      </c>
      <c r="D510" s="215">
        <v>8</v>
      </c>
      <c r="E510" s="211"/>
      <c r="F510" s="211"/>
      <c r="G510" s="211"/>
      <c r="H510" s="217">
        <v>40878</v>
      </c>
      <c r="I510" s="197" t="str">
        <f t="shared" si="7"/>
        <v>FENCE (CHAINLINK),  REPAIR 12'</v>
      </c>
    </row>
    <row r="511" spans="1:9">
      <c r="A511" s="213" t="s">
        <v>1864</v>
      </c>
      <c r="B511" s="211" t="s">
        <v>1863</v>
      </c>
      <c r="C511" s="211" t="s">
        <v>1834</v>
      </c>
      <c r="D511" s="212">
        <v>2</v>
      </c>
      <c r="E511" s="211"/>
      <c r="F511" s="211"/>
      <c r="G511" s="211"/>
      <c r="H511" s="210">
        <v>39469</v>
      </c>
      <c r="I511" s="197" t="str">
        <f t="shared" si="7"/>
        <v>FENCE (CHAINLINK), REPAIR 4'</v>
      </c>
    </row>
    <row r="512" spans="1:9">
      <c r="A512" s="213" t="s">
        <v>1862</v>
      </c>
      <c r="B512" s="211" t="s">
        <v>1861</v>
      </c>
      <c r="C512" s="211" t="s">
        <v>1834</v>
      </c>
      <c r="D512" s="212">
        <v>3.5</v>
      </c>
      <c r="E512" s="211"/>
      <c r="F512" s="211"/>
      <c r="G512" s="211"/>
      <c r="H512" s="210">
        <v>39469</v>
      </c>
      <c r="I512" s="197" t="str">
        <f t="shared" si="7"/>
        <v>FENCE (CHAINLINK),  REPAIR 5'</v>
      </c>
    </row>
    <row r="513" spans="1:9">
      <c r="A513" s="213" t="s">
        <v>1860</v>
      </c>
      <c r="B513" s="211" t="s">
        <v>1859</v>
      </c>
      <c r="C513" s="211" t="s">
        <v>1834</v>
      </c>
      <c r="D513" s="212">
        <v>5</v>
      </c>
      <c r="E513" s="211"/>
      <c r="F513" s="211"/>
      <c r="G513" s="211"/>
      <c r="H513" s="210">
        <v>39469</v>
      </c>
      <c r="I513" s="197" t="str">
        <f t="shared" si="7"/>
        <v>FENCE (CHAINLINK), REPAIR 6'</v>
      </c>
    </row>
    <row r="514" spans="1:9" ht="14.4">
      <c r="A514" s="213" t="s">
        <v>1858</v>
      </c>
      <c r="B514" s="211" t="s">
        <v>1857</v>
      </c>
      <c r="C514" s="211" t="s">
        <v>1834</v>
      </c>
      <c r="D514" s="215">
        <v>6</v>
      </c>
      <c r="E514" s="211"/>
      <c r="F514" s="211"/>
      <c r="G514" s="211"/>
      <c r="H514" s="217">
        <v>40878</v>
      </c>
      <c r="I514" s="197" t="str">
        <f t="shared" si="7"/>
        <v>FENCE (CHAINLINK), REPAIR 8'</v>
      </c>
    </row>
    <row r="515" spans="1:9">
      <c r="A515" s="216" t="s">
        <v>1856</v>
      </c>
      <c r="B515" s="214" t="s">
        <v>1855</v>
      </c>
      <c r="C515" s="214" t="s">
        <v>1834</v>
      </c>
      <c r="D515" s="215">
        <v>15</v>
      </c>
      <c r="E515" s="214"/>
      <c r="F515" s="214"/>
      <c r="G515" s="214"/>
      <c r="H515" s="210">
        <v>39469</v>
      </c>
      <c r="I515" s="197" t="str">
        <f t="shared" si="7"/>
        <v>FENCE (CHAINLINK), REPLACE 10'</v>
      </c>
    </row>
    <row r="516" spans="1:9">
      <c r="A516" s="216" t="s">
        <v>1854</v>
      </c>
      <c r="B516" s="214" t="s">
        <v>1853</v>
      </c>
      <c r="C516" s="214" t="s">
        <v>1834</v>
      </c>
      <c r="D516" s="215">
        <v>14.5</v>
      </c>
      <c r="E516" s="214"/>
      <c r="F516" s="214"/>
      <c r="G516" s="214"/>
      <c r="H516" s="210">
        <v>39469</v>
      </c>
      <c r="I516" s="197" t="str">
        <f t="shared" ref="I516:I579" si="8">IF(B516="","",B516)</f>
        <v>FENCE (CHAINLINK), REPLACE 12'</v>
      </c>
    </row>
    <row r="517" spans="1:9">
      <c r="A517" s="216" t="s">
        <v>1852</v>
      </c>
      <c r="B517" s="214" t="s">
        <v>1851</v>
      </c>
      <c r="C517" s="214" t="s">
        <v>1834</v>
      </c>
      <c r="D517" s="215">
        <v>6.5</v>
      </c>
      <c r="E517" s="214"/>
      <c r="F517" s="214"/>
      <c r="G517" s="214"/>
      <c r="H517" s="210">
        <v>39469</v>
      </c>
      <c r="I517" s="197" t="str">
        <f t="shared" si="8"/>
        <v>FENCE (CHAINLINK), REPLACE 4'</v>
      </c>
    </row>
    <row r="518" spans="1:9">
      <c r="A518" s="216" t="s">
        <v>1850</v>
      </c>
      <c r="B518" s="214" t="s">
        <v>1849</v>
      </c>
      <c r="C518" s="214" t="s">
        <v>1834</v>
      </c>
      <c r="D518" s="215">
        <v>7.5</v>
      </c>
      <c r="E518" s="214"/>
      <c r="F518" s="214"/>
      <c r="G518" s="214"/>
      <c r="H518" s="210">
        <v>39469</v>
      </c>
      <c r="I518" s="197" t="str">
        <f t="shared" si="8"/>
        <v>FENCE (CHAINLINK), REPLACE 5'</v>
      </c>
    </row>
    <row r="519" spans="1:9">
      <c r="A519" s="216" t="s">
        <v>1848</v>
      </c>
      <c r="B519" s="214" t="s">
        <v>1847</v>
      </c>
      <c r="C519" s="214" t="s">
        <v>1834</v>
      </c>
      <c r="D519" s="215">
        <v>8.5</v>
      </c>
      <c r="E519" s="214"/>
      <c r="F519" s="214"/>
      <c r="G519" s="214"/>
      <c r="H519" s="210">
        <v>39469</v>
      </c>
      <c r="I519" s="197" t="str">
        <f t="shared" si="8"/>
        <v>FENCE (CHAINLINK), REPLACE 6'</v>
      </c>
    </row>
    <row r="520" spans="1:9">
      <c r="A520" s="216" t="s">
        <v>1846</v>
      </c>
      <c r="B520" s="214" t="s">
        <v>1845</v>
      </c>
      <c r="C520" s="214" t="s">
        <v>1834</v>
      </c>
      <c r="D520" s="215">
        <v>10</v>
      </c>
      <c r="E520" s="214"/>
      <c r="F520" s="214"/>
      <c r="G520" s="214"/>
      <c r="H520" s="210">
        <v>39469</v>
      </c>
      <c r="I520" s="197" t="str">
        <f t="shared" si="8"/>
        <v>FENCE (CHAINLINK), REPLACE 8'</v>
      </c>
    </row>
    <row r="521" spans="1:9" ht="14.4">
      <c r="A521" s="213" t="s">
        <v>1844</v>
      </c>
      <c r="B521" s="211" t="s">
        <v>1843</v>
      </c>
      <c r="C521" s="211" t="s">
        <v>1834</v>
      </c>
      <c r="D521" s="218">
        <v>11.1</v>
      </c>
      <c r="E521" s="211"/>
      <c r="F521" s="211"/>
      <c r="G521" s="211"/>
      <c r="H521" s="217">
        <v>40878</v>
      </c>
      <c r="I521" s="197" t="str">
        <f t="shared" si="8"/>
        <v>FENCE (CHAINLINK) W/BARBED WIRE 6'</v>
      </c>
    </row>
    <row r="522" spans="1:9" ht="14.4">
      <c r="A522" s="213" t="s">
        <v>1842</v>
      </c>
      <c r="B522" s="211" t="s">
        <v>1841</v>
      </c>
      <c r="C522" s="211" t="s">
        <v>1834</v>
      </c>
      <c r="D522" s="218">
        <v>4.47</v>
      </c>
      <c r="E522" s="211"/>
      <c r="F522" s="211"/>
      <c r="G522" s="211"/>
      <c r="H522" s="217">
        <v>40878</v>
      </c>
      <c r="I522" s="197" t="str">
        <f t="shared" si="8"/>
        <v>FENCE FABRIC, 4' HT</v>
      </c>
    </row>
    <row r="523" spans="1:9" ht="14.4">
      <c r="A523" s="213" t="s">
        <v>1840</v>
      </c>
      <c r="B523" s="211" t="s">
        <v>1839</v>
      </c>
      <c r="C523" s="211" t="s">
        <v>1834</v>
      </c>
      <c r="D523" s="218">
        <v>1.93</v>
      </c>
      <c r="E523" s="211"/>
      <c r="F523" s="211"/>
      <c r="G523" s="211"/>
      <c r="H523" s="217">
        <v>40878</v>
      </c>
      <c r="I523" s="197" t="str">
        <f t="shared" si="8"/>
        <v>FENCE LINE POST 1 - 5/8"</v>
      </c>
    </row>
    <row r="524" spans="1:9" ht="14.4">
      <c r="A524" s="213" t="s">
        <v>1838</v>
      </c>
      <c r="B524" s="211" t="s">
        <v>1837</v>
      </c>
      <c r="C524" s="211" t="s">
        <v>1834</v>
      </c>
      <c r="D524" s="215">
        <v>3.2</v>
      </c>
      <c r="E524" s="211"/>
      <c r="F524" s="211"/>
      <c r="G524" s="211"/>
      <c r="H524" s="217">
        <v>40878</v>
      </c>
      <c r="I524" s="197" t="str">
        <f t="shared" si="8"/>
        <v>FENCE LINE POST 2 - 1/2"</v>
      </c>
    </row>
    <row r="525" spans="1:9" ht="14.4">
      <c r="A525" s="213" t="s">
        <v>1836</v>
      </c>
      <c r="B525" s="211" t="s">
        <v>1835</v>
      </c>
      <c r="C525" s="211" t="s">
        <v>1834</v>
      </c>
      <c r="D525" s="215">
        <v>1.33</v>
      </c>
      <c r="E525" s="211"/>
      <c r="F525" s="211"/>
      <c r="G525" s="211"/>
      <c r="H525" s="217">
        <v>40878</v>
      </c>
      <c r="I525" s="197" t="str">
        <f t="shared" si="8"/>
        <v>FENCE TOP RAIL FOR CHAINLINK, 1 - 5/8"</v>
      </c>
    </row>
    <row r="526" spans="1:9">
      <c r="A526" s="216" t="s">
        <v>1833</v>
      </c>
      <c r="B526" s="214" t="s">
        <v>1832</v>
      </c>
      <c r="C526" s="214" t="s">
        <v>1806</v>
      </c>
      <c r="D526" s="215">
        <v>0</v>
      </c>
      <c r="E526" s="214"/>
      <c r="F526" s="214"/>
      <c r="G526" s="214"/>
      <c r="H526" s="210">
        <v>39462</v>
      </c>
      <c r="I526" s="197" t="str">
        <f t="shared" si="8"/>
        <v>GATE (CHAINLINK), 10'</v>
      </c>
    </row>
    <row r="527" spans="1:9">
      <c r="A527" s="216" t="s">
        <v>1831</v>
      </c>
      <c r="B527" s="214" t="s">
        <v>1830</v>
      </c>
      <c r="C527" s="214" t="s">
        <v>1806</v>
      </c>
      <c r="D527" s="215">
        <v>0</v>
      </c>
      <c r="E527" s="214"/>
      <c r="F527" s="214"/>
      <c r="G527" s="214"/>
      <c r="H527" s="210">
        <v>39462</v>
      </c>
      <c r="I527" s="197" t="str">
        <f t="shared" si="8"/>
        <v>GATE (CHAINLINK), 5'</v>
      </c>
    </row>
    <row r="528" spans="1:9">
      <c r="A528" s="216" t="s">
        <v>1829</v>
      </c>
      <c r="B528" s="214" t="s">
        <v>1828</v>
      </c>
      <c r="C528" s="214" t="s">
        <v>1806</v>
      </c>
      <c r="D528" s="215">
        <v>0</v>
      </c>
      <c r="E528" s="214"/>
      <c r="F528" s="214"/>
      <c r="G528" s="214"/>
      <c r="H528" s="210">
        <v>39462</v>
      </c>
      <c r="I528" s="197" t="str">
        <f t="shared" si="8"/>
        <v>GATE (CHAINLINK), 6'</v>
      </c>
    </row>
    <row r="529" spans="1:9">
      <c r="A529" s="216" t="s">
        <v>1827</v>
      </c>
      <c r="B529" s="214" t="s">
        <v>1826</v>
      </c>
      <c r="C529" s="214" t="s">
        <v>1806</v>
      </c>
      <c r="D529" s="215">
        <v>0</v>
      </c>
      <c r="E529" s="214"/>
      <c r="F529" s="214"/>
      <c r="G529" s="214"/>
      <c r="H529" s="210">
        <v>39462</v>
      </c>
      <c r="I529" s="197" t="str">
        <f t="shared" si="8"/>
        <v>GATE (CHAINLINK), 8'</v>
      </c>
    </row>
    <row r="530" spans="1:9">
      <c r="A530" s="213" t="s">
        <v>1825</v>
      </c>
      <c r="B530" s="211" t="s">
        <v>1824</v>
      </c>
      <c r="C530" s="211" t="s">
        <v>1806</v>
      </c>
      <c r="D530" s="212">
        <v>41.7</v>
      </c>
      <c r="E530" s="211"/>
      <c r="F530" s="211"/>
      <c r="G530" s="211"/>
      <c r="H530" s="210">
        <v>39462</v>
      </c>
      <c r="I530" s="197" t="str">
        <f t="shared" si="8"/>
        <v>REALIGN 1 TO 4 LIGHTS PER POLE</v>
      </c>
    </row>
    <row r="531" spans="1:9">
      <c r="A531" s="213" t="s">
        <v>1823</v>
      </c>
      <c r="B531" s="211" t="s">
        <v>1822</v>
      </c>
      <c r="C531" s="211" t="s">
        <v>1806</v>
      </c>
      <c r="D531" s="212">
        <v>68</v>
      </c>
      <c r="E531" s="211"/>
      <c r="F531" s="211"/>
      <c r="G531" s="211"/>
      <c r="H531" s="210">
        <v>39462</v>
      </c>
      <c r="I531" s="197" t="str">
        <f t="shared" si="8"/>
        <v>REALIGN 5 TO 8 LIGHTS PER POLE</v>
      </c>
    </row>
    <row r="532" spans="1:9">
      <c r="A532" s="213" t="s">
        <v>1821</v>
      </c>
      <c r="B532" s="211" t="s">
        <v>1820</v>
      </c>
      <c r="C532" s="211" t="s">
        <v>1806</v>
      </c>
      <c r="D532" s="212">
        <v>105</v>
      </c>
      <c r="E532" s="211"/>
      <c r="F532" s="211"/>
      <c r="G532" s="211"/>
      <c r="H532" s="210">
        <v>39462</v>
      </c>
      <c r="I532" s="197" t="str">
        <f t="shared" si="8"/>
        <v>REALIGN 9 TO 12 LIGHTS PER POLE</v>
      </c>
    </row>
    <row r="533" spans="1:9">
      <c r="A533" s="213" t="s">
        <v>1819</v>
      </c>
      <c r="B533" s="211" t="s">
        <v>1818</v>
      </c>
      <c r="C533" s="211" t="s">
        <v>1806</v>
      </c>
      <c r="D533" s="212">
        <v>125</v>
      </c>
      <c r="E533" s="211"/>
      <c r="F533" s="211"/>
      <c r="G533" s="211"/>
      <c r="H533" s="210">
        <v>39462</v>
      </c>
      <c r="I533" s="197" t="str">
        <f t="shared" si="8"/>
        <v>REALIGN 13 TO 16 LIGHTS PER POLE</v>
      </c>
    </row>
    <row r="534" spans="1:9">
      <c r="A534" s="213" t="s">
        <v>1817</v>
      </c>
      <c r="B534" s="211" t="s">
        <v>1816</v>
      </c>
      <c r="C534" s="211" t="s">
        <v>1806</v>
      </c>
      <c r="D534" s="212">
        <v>156</v>
      </c>
      <c r="E534" s="211"/>
      <c r="F534" s="211"/>
      <c r="G534" s="211"/>
      <c r="H534" s="210" t="s">
        <v>1815</v>
      </c>
      <c r="I534" s="197" t="str">
        <f t="shared" si="8"/>
        <v>REALIGN 17 TO 24 LIGHTS PER POLE</v>
      </c>
    </row>
    <row r="535" spans="1:9">
      <c r="A535" s="213" t="s">
        <v>1814</v>
      </c>
      <c r="B535" s="211" t="s">
        <v>1813</v>
      </c>
      <c r="C535" s="211" t="s">
        <v>1806</v>
      </c>
      <c r="D535" s="212">
        <v>177</v>
      </c>
      <c r="E535" s="211"/>
      <c r="F535" s="211"/>
      <c r="G535" s="211"/>
      <c r="H535" s="210">
        <v>39462</v>
      </c>
      <c r="I535" s="197" t="str">
        <f t="shared" si="8"/>
        <v>REALIGN 25 TO 32 LIGHTS PER POLE</v>
      </c>
    </row>
    <row r="536" spans="1:9">
      <c r="A536" s="213" t="s">
        <v>1812</v>
      </c>
      <c r="B536" s="211" t="s">
        <v>1811</v>
      </c>
      <c r="C536" s="211" t="s">
        <v>1806</v>
      </c>
      <c r="D536" s="212">
        <v>208</v>
      </c>
      <c r="E536" s="211"/>
      <c r="F536" s="211"/>
      <c r="G536" s="211"/>
      <c r="H536" s="210">
        <v>39462</v>
      </c>
      <c r="I536" s="197" t="str">
        <f t="shared" si="8"/>
        <v>REALIGN 33 OR MORE LIGHTS PER POLE</v>
      </c>
    </row>
    <row r="537" spans="1:9">
      <c r="A537" s="213" t="s">
        <v>1810</v>
      </c>
      <c r="B537" s="211" t="s">
        <v>1809</v>
      </c>
      <c r="C537" s="211" t="s">
        <v>1806</v>
      </c>
      <c r="D537" s="212">
        <v>89</v>
      </c>
      <c r="E537" s="211"/>
      <c r="F537" s="211"/>
      <c r="G537" s="211"/>
      <c r="H537" s="210">
        <v>39462</v>
      </c>
      <c r="I537" s="197" t="str">
        <f t="shared" si="8"/>
        <v>REPLACE BULB, 1500 WATT</v>
      </c>
    </row>
    <row r="538" spans="1:9">
      <c r="A538" s="213" t="s">
        <v>1808</v>
      </c>
      <c r="B538" s="211" t="s">
        <v>1807</v>
      </c>
      <c r="C538" s="211" t="s">
        <v>1806</v>
      </c>
      <c r="D538" s="212">
        <v>36.5</v>
      </c>
      <c r="E538" s="211"/>
      <c r="F538" s="211"/>
      <c r="G538" s="211"/>
      <c r="H538" s="210">
        <v>39462</v>
      </c>
      <c r="I538" s="197" t="str">
        <f t="shared" si="8"/>
        <v>REPLACE LENS AND  COVER</v>
      </c>
    </row>
    <row r="539" spans="1:9">
      <c r="A539" s="203"/>
      <c r="B539" s="201"/>
      <c r="C539" s="200"/>
      <c r="D539" s="202"/>
      <c r="E539" s="201"/>
      <c r="F539" s="200"/>
      <c r="G539" s="200"/>
      <c r="H539" s="199"/>
      <c r="I539" s="197" t="str">
        <f t="shared" si="8"/>
        <v/>
      </c>
    </row>
    <row r="540" spans="1:9">
      <c r="A540" s="203"/>
      <c r="B540" s="201"/>
      <c r="C540" s="200"/>
      <c r="D540" s="202"/>
      <c r="E540" s="201"/>
      <c r="F540" s="200"/>
      <c r="G540" s="200"/>
      <c r="H540" s="199"/>
      <c r="I540" s="197" t="str">
        <f t="shared" si="8"/>
        <v/>
      </c>
    </row>
    <row r="541" spans="1:9">
      <c r="A541" s="203"/>
      <c r="B541" s="201"/>
      <c r="C541" s="200"/>
      <c r="D541" s="202"/>
      <c r="E541" s="201"/>
      <c r="F541" s="200"/>
      <c r="G541" s="200"/>
      <c r="H541" s="199"/>
      <c r="I541" s="197" t="str">
        <f t="shared" si="8"/>
        <v/>
      </c>
    </row>
    <row r="542" spans="1:9">
      <c r="A542" s="203"/>
      <c r="B542" s="201"/>
      <c r="C542" s="200"/>
      <c r="D542" s="202"/>
      <c r="E542" s="201"/>
      <c r="F542" s="200"/>
      <c r="G542" s="200"/>
      <c r="H542" s="199"/>
      <c r="I542" s="197" t="str">
        <f t="shared" si="8"/>
        <v/>
      </c>
    </row>
    <row r="543" spans="1:9">
      <c r="A543" s="203"/>
      <c r="B543" s="201"/>
      <c r="C543" s="200"/>
      <c r="D543" s="202"/>
      <c r="E543" s="201"/>
      <c r="F543" s="200"/>
      <c r="G543" s="200"/>
      <c r="H543" s="199"/>
      <c r="I543" s="197" t="str">
        <f t="shared" si="8"/>
        <v/>
      </c>
    </row>
    <row r="544" spans="1:9">
      <c r="A544" s="203"/>
      <c r="B544" s="201"/>
      <c r="C544" s="200"/>
      <c r="D544" s="202"/>
      <c r="E544" s="201"/>
      <c r="F544" s="200"/>
      <c r="G544" s="200"/>
      <c r="H544" s="199"/>
      <c r="I544" s="197" t="str">
        <f t="shared" si="8"/>
        <v/>
      </c>
    </row>
    <row r="545" spans="1:9">
      <c r="A545" s="203"/>
      <c r="B545" s="201"/>
      <c r="C545" s="200"/>
      <c r="D545" s="202"/>
      <c r="E545" s="201"/>
      <c r="F545" s="200"/>
      <c r="G545" s="200"/>
      <c r="H545" s="199"/>
      <c r="I545" s="197" t="str">
        <f t="shared" si="8"/>
        <v/>
      </c>
    </row>
    <row r="546" spans="1:9">
      <c r="A546" s="203"/>
      <c r="B546" s="201"/>
      <c r="C546" s="200"/>
      <c r="D546" s="202"/>
      <c r="E546" s="201"/>
      <c r="F546" s="200"/>
      <c r="G546" s="200"/>
      <c r="H546" s="199"/>
      <c r="I546" s="197" t="str">
        <f t="shared" si="8"/>
        <v/>
      </c>
    </row>
    <row r="547" spans="1:9">
      <c r="A547" s="203"/>
      <c r="B547" s="201"/>
      <c r="C547" s="200"/>
      <c r="D547" s="202"/>
      <c r="E547" s="201"/>
      <c r="F547" s="200"/>
      <c r="G547" s="200"/>
      <c r="H547" s="199"/>
      <c r="I547" s="197" t="str">
        <f t="shared" si="8"/>
        <v/>
      </c>
    </row>
    <row r="548" spans="1:9">
      <c r="A548" s="203"/>
      <c r="B548" s="201"/>
      <c r="C548" s="200"/>
      <c r="D548" s="202"/>
      <c r="E548" s="201"/>
      <c r="F548" s="200"/>
      <c r="G548" s="200"/>
      <c r="H548" s="199"/>
      <c r="I548" s="197" t="str">
        <f t="shared" si="8"/>
        <v/>
      </c>
    </row>
    <row r="549" spans="1:9">
      <c r="A549" s="203"/>
      <c r="B549" s="201"/>
      <c r="C549" s="200"/>
      <c r="D549" s="202"/>
      <c r="E549" s="201"/>
      <c r="F549" s="200"/>
      <c r="G549" s="200"/>
      <c r="H549" s="199"/>
      <c r="I549" s="197" t="str">
        <f t="shared" si="8"/>
        <v/>
      </c>
    </row>
    <row r="550" spans="1:9">
      <c r="A550" s="203"/>
      <c r="B550" s="201"/>
      <c r="C550" s="200"/>
      <c r="D550" s="202"/>
      <c r="E550" s="201"/>
      <c r="F550" s="200"/>
      <c r="G550" s="200"/>
      <c r="H550" s="199"/>
      <c r="I550" s="197" t="str">
        <f t="shared" si="8"/>
        <v/>
      </c>
    </row>
    <row r="551" spans="1:9">
      <c r="A551" s="203"/>
      <c r="B551" s="201"/>
      <c r="C551" s="200"/>
      <c r="D551" s="202"/>
      <c r="E551" s="201"/>
      <c r="F551" s="200"/>
      <c r="G551" s="200"/>
      <c r="H551" s="199"/>
      <c r="I551" s="197" t="str">
        <f t="shared" si="8"/>
        <v/>
      </c>
    </row>
    <row r="552" spans="1:9">
      <c r="A552" s="203"/>
      <c r="B552" s="201"/>
      <c r="C552" s="200"/>
      <c r="D552" s="202"/>
      <c r="E552" s="201"/>
      <c r="F552" s="200"/>
      <c r="G552" s="200"/>
      <c r="H552" s="199"/>
      <c r="I552" s="197" t="str">
        <f t="shared" si="8"/>
        <v/>
      </c>
    </row>
    <row r="553" spans="1:9">
      <c r="A553" s="203"/>
      <c r="B553" s="201"/>
      <c r="C553" s="200"/>
      <c r="D553" s="202"/>
      <c r="E553" s="201"/>
      <c r="F553" s="200"/>
      <c r="G553" s="200"/>
      <c r="H553" s="199"/>
      <c r="I553" s="197" t="str">
        <f t="shared" si="8"/>
        <v/>
      </c>
    </row>
    <row r="554" spans="1:9">
      <c r="A554" s="203"/>
      <c r="B554" s="201"/>
      <c r="C554" s="200"/>
      <c r="D554" s="202"/>
      <c r="E554" s="201"/>
      <c r="F554" s="200"/>
      <c r="G554" s="200"/>
      <c r="H554" s="199"/>
      <c r="I554" s="197" t="str">
        <f t="shared" si="8"/>
        <v/>
      </c>
    </row>
    <row r="555" spans="1:9">
      <c r="A555" s="203"/>
      <c r="B555" s="201"/>
      <c r="C555" s="200"/>
      <c r="D555" s="202"/>
      <c r="E555" s="201"/>
      <c r="F555" s="200"/>
      <c r="G555" s="200"/>
      <c r="H555" s="199"/>
      <c r="I555" s="197" t="str">
        <f t="shared" si="8"/>
        <v/>
      </c>
    </row>
    <row r="556" spans="1:9">
      <c r="A556" s="203"/>
      <c r="B556" s="201"/>
      <c r="C556" s="200"/>
      <c r="D556" s="202"/>
      <c r="E556" s="201"/>
      <c r="F556" s="200"/>
      <c r="G556" s="200"/>
      <c r="H556" s="199"/>
      <c r="I556" s="197" t="str">
        <f t="shared" si="8"/>
        <v/>
      </c>
    </row>
    <row r="557" spans="1:9">
      <c r="A557" s="203"/>
      <c r="B557" s="201"/>
      <c r="C557" s="200"/>
      <c r="D557" s="202"/>
      <c r="E557" s="201"/>
      <c r="F557" s="200"/>
      <c r="G557" s="200"/>
      <c r="H557" s="199"/>
      <c r="I557" s="197" t="str">
        <f t="shared" si="8"/>
        <v/>
      </c>
    </row>
    <row r="558" spans="1:9">
      <c r="A558" s="203"/>
      <c r="B558" s="201"/>
      <c r="C558" s="200"/>
      <c r="D558" s="202"/>
      <c r="E558" s="201"/>
      <c r="F558" s="200"/>
      <c r="G558" s="200"/>
      <c r="H558" s="199"/>
      <c r="I558" s="197" t="str">
        <f t="shared" si="8"/>
        <v/>
      </c>
    </row>
    <row r="559" spans="1:9">
      <c r="A559" s="203"/>
      <c r="B559" s="201"/>
      <c r="C559" s="200"/>
      <c r="D559" s="202"/>
      <c r="E559" s="201"/>
      <c r="F559" s="200"/>
      <c r="G559" s="200"/>
      <c r="H559" s="199"/>
      <c r="I559" s="197" t="str">
        <f t="shared" si="8"/>
        <v/>
      </c>
    </row>
    <row r="560" spans="1:9">
      <c r="A560" s="203"/>
      <c r="B560" s="201"/>
      <c r="C560" s="200"/>
      <c r="D560" s="202"/>
      <c r="E560" s="201"/>
      <c r="F560" s="200"/>
      <c r="G560" s="200"/>
      <c r="H560" s="199"/>
      <c r="I560" s="197" t="str">
        <f t="shared" si="8"/>
        <v/>
      </c>
    </row>
    <row r="561" spans="1:9">
      <c r="A561" s="203"/>
      <c r="B561" s="201"/>
      <c r="C561" s="200"/>
      <c r="D561" s="202"/>
      <c r="E561" s="201"/>
      <c r="F561" s="200"/>
      <c r="G561" s="200"/>
      <c r="H561" s="199"/>
      <c r="I561" s="197" t="str">
        <f t="shared" si="8"/>
        <v/>
      </c>
    </row>
    <row r="562" spans="1:9">
      <c r="A562" s="203"/>
      <c r="B562" s="201"/>
      <c r="C562" s="200"/>
      <c r="D562" s="202"/>
      <c r="E562" s="201"/>
      <c r="F562" s="200"/>
      <c r="G562" s="200"/>
      <c r="H562" s="199"/>
      <c r="I562" s="197" t="str">
        <f t="shared" si="8"/>
        <v/>
      </c>
    </row>
    <row r="563" spans="1:9">
      <c r="A563" s="203"/>
      <c r="B563" s="201"/>
      <c r="C563" s="200"/>
      <c r="D563" s="202"/>
      <c r="E563" s="201"/>
      <c r="F563" s="200"/>
      <c r="G563" s="200"/>
      <c r="H563" s="199"/>
      <c r="I563" s="197" t="str">
        <f t="shared" si="8"/>
        <v/>
      </c>
    </row>
    <row r="564" spans="1:9">
      <c r="A564" s="203"/>
      <c r="B564" s="201"/>
      <c r="C564" s="200"/>
      <c r="D564" s="202"/>
      <c r="E564" s="201"/>
      <c r="F564" s="200"/>
      <c r="G564" s="200"/>
      <c r="H564" s="199"/>
      <c r="I564" s="197" t="str">
        <f t="shared" si="8"/>
        <v/>
      </c>
    </row>
    <row r="565" spans="1:9">
      <c r="A565" s="203"/>
      <c r="B565" s="201"/>
      <c r="C565" s="200"/>
      <c r="D565" s="202"/>
      <c r="E565" s="201"/>
      <c r="F565" s="200"/>
      <c r="G565" s="200"/>
      <c r="H565" s="199"/>
      <c r="I565" s="197" t="str">
        <f t="shared" si="8"/>
        <v/>
      </c>
    </row>
    <row r="566" spans="1:9">
      <c r="A566" s="203"/>
      <c r="B566" s="201"/>
      <c r="C566" s="200"/>
      <c r="D566" s="202"/>
      <c r="E566" s="201"/>
      <c r="F566" s="200"/>
      <c r="G566" s="200"/>
      <c r="H566" s="199"/>
      <c r="I566" s="197" t="str">
        <f t="shared" si="8"/>
        <v/>
      </c>
    </row>
    <row r="567" spans="1:9">
      <c r="A567" s="203"/>
      <c r="B567" s="201"/>
      <c r="C567" s="200"/>
      <c r="D567" s="202"/>
      <c r="E567" s="201"/>
      <c r="F567" s="200"/>
      <c r="G567" s="200"/>
      <c r="H567" s="199"/>
      <c r="I567" s="197" t="str">
        <f t="shared" si="8"/>
        <v/>
      </c>
    </row>
    <row r="568" spans="1:9">
      <c r="A568" s="203"/>
      <c r="B568" s="201"/>
      <c r="C568" s="200"/>
      <c r="D568" s="202"/>
      <c r="E568" s="201"/>
      <c r="F568" s="200"/>
      <c r="G568" s="200"/>
      <c r="H568" s="199"/>
      <c r="I568" s="197" t="str">
        <f t="shared" si="8"/>
        <v/>
      </c>
    </row>
    <row r="569" spans="1:9">
      <c r="A569" s="203"/>
      <c r="B569" s="201"/>
      <c r="C569" s="200"/>
      <c r="D569" s="202"/>
      <c r="E569" s="201"/>
      <c r="F569" s="200"/>
      <c r="G569" s="200"/>
      <c r="H569" s="199"/>
      <c r="I569" s="197" t="str">
        <f t="shared" si="8"/>
        <v/>
      </c>
    </row>
    <row r="570" spans="1:9">
      <c r="A570" s="203"/>
      <c r="B570" s="201"/>
      <c r="C570" s="200"/>
      <c r="D570" s="202"/>
      <c r="E570" s="201"/>
      <c r="F570" s="200"/>
      <c r="G570" s="200"/>
      <c r="H570" s="199"/>
      <c r="I570" s="197" t="str">
        <f t="shared" si="8"/>
        <v/>
      </c>
    </row>
    <row r="571" spans="1:9">
      <c r="A571" s="203"/>
      <c r="B571" s="201"/>
      <c r="C571" s="200"/>
      <c r="D571" s="202"/>
      <c r="E571" s="201"/>
      <c r="F571" s="200"/>
      <c r="G571" s="200"/>
      <c r="H571" s="199"/>
      <c r="I571" s="197" t="str">
        <f t="shared" si="8"/>
        <v/>
      </c>
    </row>
    <row r="572" spans="1:9">
      <c r="A572" s="203"/>
      <c r="B572" s="201"/>
      <c r="C572" s="200"/>
      <c r="D572" s="202"/>
      <c r="E572" s="201"/>
      <c r="F572" s="200"/>
      <c r="G572" s="200"/>
      <c r="H572" s="199"/>
      <c r="I572" s="197" t="str">
        <f t="shared" si="8"/>
        <v/>
      </c>
    </row>
    <row r="573" spans="1:9">
      <c r="A573" s="203"/>
      <c r="B573" s="201"/>
      <c r="C573" s="200"/>
      <c r="D573" s="202"/>
      <c r="E573" s="201"/>
      <c r="F573" s="200"/>
      <c r="G573" s="200"/>
      <c r="H573" s="199"/>
      <c r="I573" s="197" t="str">
        <f t="shared" si="8"/>
        <v/>
      </c>
    </row>
    <row r="574" spans="1:9">
      <c r="A574" s="203"/>
      <c r="B574" s="201"/>
      <c r="C574" s="200"/>
      <c r="D574" s="202"/>
      <c r="E574" s="201"/>
      <c r="F574" s="200"/>
      <c r="G574" s="200"/>
      <c r="H574" s="199"/>
      <c r="I574" s="197" t="str">
        <f t="shared" si="8"/>
        <v/>
      </c>
    </row>
    <row r="575" spans="1:9">
      <c r="A575" s="203"/>
      <c r="B575" s="201"/>
      <c r="C575" s="200"/>
      <c r="D575" s="202"/>
      <c r="E575" s="201"/>
      <c r="F575" s="200"/>
      <c r="G575" s="200"/>
      <c r="H575" s="199"/>
      <c r="I575" s="197" t="str">
        <f t="shared" si="8"/>
        <v/>
      </c>
    </row>
    <row r="576" spans="1:9">
      <c r="A576" s="203"/>
      <c r="B576" s="201"/>
      <c r="C576" s="200"/>
      <c r="D576" s="202"/>
      <c r="E576" s="201"/>
      <c r="F576" s="200"/>
      <c r="G576" s="200"/>
      <c r="H576" s="199"/>
      <c r="I576" s="197" t="str">
        <f t="shared" si="8"/>
        <v/>
      </c>
    </row>
    <row r="577" spans="1:9">
      <c r="A577" s="203"/>
      <c r="B577" s="201"/>
      <c r="C577" s="200"/>
      <c r="D577" s="202"/>
      <c r="E577" s="201"/>
      <c r="F577" s="200"/>
      <c r="G577" s="200"/>
      <c r="H577" s="199"/>
      <c r="I577" s="197" t="str">
        <f t="shared" si="8"/>
        <v/>
      </c>
    </row>
    <row r="578" spans="1:9">
      <c r="A578" s="203"/>
      <c r="B578" s="201"/>
      <c r="C578" s="200"/>
      <c r="D578" s="202"/>
      <c r="E578" s="201"/>
      <c r="F578" s="200"/>
      <c r="G578" s="200"/>
      <c r="H578" s="199"/>
      <c r="I578" s="197" t="str">
        <f t="shared" si="8"/>
        <v/>
      </c>
    </row>
    <row r="579" spans="1:9">
      <c r="A579" s="203"/>
      <c r="B579" s="201"/>
      <c r="C579" s="200"/>
      <c r="D579" s="202"/>
      <c r="E579" s="201"/>
      <c r="F579" s="200"/>
      <c r="G579" s="200"/>
      <c r="H579" s="199"/>
      <c r="I579" s="197" t="str">
        <f t="shared" si="8"/>
        <v/>
      </c>
    </row>
    <row r="580" spans="1:9">
      <c r="A580" s="203"/>
      <c r="B580" s="201"/>
      <c r="C580" s="200"/>
      <c r="D580" s="202"/>
      <c r="E580" s="201"/>
      <c r="F580" s="200"/>
      <c r="G580" s="200"/>
      <c r="H580" s="199"/>
      <c r="I580" s="197" t="str">
        <f t="shared" ref="I580:I618" si="9">IF(B580="","",B580)</f>
        <v/>
      </c>
    </row>
    <row r="581" spans="1:9">
      <c r="A581" s="203"/>
      <c r="B581" s="201"/>
      <c r="C581" s="200"/>
      <c r="D581" s="202"/>
      <c r="E581" s="201"/>
      <c r="F581" s="200"/>
      <c r="G581" s="200"/>
      <c r="H581" s="199"/>
      <c r="I581" s="197" t="str">
        <f t="shared" si="9"/>
        <v/>
      </c>
    </row>
    <row r="582" spans="1:9">
      <c r="A582" s="203"/>
      <c r="B582" s="201"/>
      <c r="C582" s="200"/>
      <c r="D582" s="202"/>
      <c r="E582" s="201"/>
      <c r="F582" s="200"/>
      <c r="G582" s="200"/>
      <c r="H582" s="199"/>
      <c r="I582" s="197" t="str">
        <f t="shared" si="9"/>
        <v/>
      </c>
    </row>
    <row r="583" spans="1:9">
      <c r="A583" s="203"/>
      <c r="B583" s="201"/>
      <c r="C583" s="200"/>
      <c r="D583" s="202"/>
      <c r="E583" s="201"/>
      <c r="F583" s="200"/>
      <c r="G583" s="200"/>
      <c r="H583" s="199"/>
      <c r="I583" s="197" t="str">
        <f t="shared" si="9"/>
        <v/>
      </c>
    </row>
    <row r="584" spans="1:9">
      <c r="A584" s="203"/>
      <c r="B584" s="201"/>
      <c r="C584" s="200"/>
      <c r="D584" s="202"/>
      <c r="E584" s="201"/>
      <c r="F584" s="200"/>
      <c r="G584" s="200"/>
      <c r="H584" s="199"/>
      <c r="I584" s="197" t="str">
        <f t="shared" si="9"/>
        <v/>
      </c>
    </row>
    <row r="585" spans="1:9">
      <c r="A585" s="203"/>
      <c r="B585" s="201"/>
      <c r="C585" s="200"/>
      <c r="D585" s="202"/>
      <c r="E585" s="201"/>
      <c r="F585" s="200"/>
      <c r="G585" s="200"/>
      <c r="H585" s="199"/>
      <c r="I585" s="197" t="str">
        <f t="shared" si="9"/>
        <v/>
      </c>
    </row>
    <row r="586" spans="1:9">
      <c r="A586" s="203"/>
      <c r="B586" s="201"/>
      <c r="C586" s="200"/>
      <c r="D586" s="202"/>
      <c r="E586" s="201"/>
      <c r="F586" s="200"/>
      <c r="G586" s="200"/>
      <c r="H586" s="199"/>
      <c r="I586" s="197" t="str">
        <f t="shared" si="9"/>
        <v/>
      </c>
    </row>
    <row r="587" spans="1:9">
      <c r="A587" s="203"/>
      <c r="B587" s="201"/>
      <c r="C587" s="200"/>
      <c r="D587" s="202"/>
      <c r="E587" s="201"/>
      <c r="F587" s="200"/>
      <c r="G587" s="200"/>
      <c r="H587" s="199"/>
      <c r="I587" s="197" t="str">
        <f t="shared" si="9"/>
        <v/>
      </c>
    </row>
    <row r="588" spans="1:9">
      <c r="A588" s="203"/>
      <c r="B588" s="201"/>
      <c r="C588" s="200"/>
      <c r="D588" s="202"/>
      <c r="E588" s="201"/>
      <c r="F588" s="200"/>
      <c r="G588" s="200"/>
      <c r="H588" s="199"/>
      <c r="I588" s="197" t="str">
        <f t="shared" si="9"/>
        <v/>
      </c>
    </row>
    <row r="589" spans="1:9">
      <c r="A589" s="203"/>
      <c r="B589" s="201"/>
      <c r="C589" s="200"/>
      <c r="D589" s="202"/>
      <c r="E589" s="201"/>
      <c r="F589" s="200"/>
      <c r="G589" s="200"/>
      <c r="H589" s="199"/>
      <c r="I589" s="197" t="str">
        <f t="shared" si="9"/>
        <v/>
      </c>
    </row>
    <row r="590" spans="1:9">
      <c r="A590" s="203"/>
      <c r="B590" s="201"/>
      <c r="C590" s="200"/>
      <c r="D590" s="202"/>
      <c r="E590" s="201"/>
      <c r="F590" s="200"/>
      <c r="G590" s="200"/>
      <c r="H590" s="199"/>
      <c r="I590" s="197" t="str">
        <f t="shared" si="9"/>
        <v/>
      </c>
    </row>
    <row r="591" spans="1:9">
      <c r="A591" s="203"/>
      <c r="B591" s="201"/>
      <c r="C591" s="200"/>
      <c r="D591" s="202"/>
      <c r="E591" s="201"/>
      <c r="F591" s="200"/>
      <c r="G591" s="200"/>
      <c r="H591" s="199"/>
      <c r="I591" s="197" t="str">
        <f t="shared" si="9"/>
        <v/>
      </c>
    </row>
    <row r="592" spans="1:9">
      <c r="A592" s="203"/>
      <c r="B592" s="201"/>
      <c r="C592" s="200"/>
      <c r="D592" s="202"/>
      <c r="E592" s="201"/>
      <c r="F592" s="200"/>
      <c r="G592" s="200"/>
      <c r="H592" s="199"/>
      <c r="I592" s="197" t="str">
        <f t="shared" si="9"/>
        <v/>
      </c>
    </row>
    <row r="593" spans="1:9">
      <c r="A593" s="203"/>
      <c r="B593" s="201"/>
      <c r="C593" s="200"/>
      <c r="D593" s="202"/>
      <c r="E593" s="201"/>
      <c r="F593" s="200"/>
      <c r="G593" s="200"/>
      <c r="H593" s="199"/>
      <c r="I593" s="197" t="str">
        <f t="shared" si="9"/>
        <v/>
      </c>
    </row>
    <row r="594" spans="1:9">
      <c r="A594" s="203"/>
      <c r="B594" s="201"/>
      <c r="C594" s="200"/>
      <c r="D594" s="202"/>
      <c r="E594" s="201"/>
      <c r="F594" s="200"/>
      <c r="G594" s="200"/>
      <c r="H594" s="199"/>
      <c r="I594" s="197" t="str">
        <f t="shared" si="9"/>
        <v/>
      </c>
    </row>
    <row r="595" spans="1:9">
      <c r="A595" s="203"/>
      <c r="B595" s="201"/>
      <c r="C595" s="200"/>
      <c r="D595" s="202"/>
      <c r="E595" s="201"/>
      <c r="F595" s="200"/>
      <c r="G595" s="200"/>
      <c r="H595" s="199"/>
      <c r="I595" s="197" t="str">
        <f t="shared" si="9"/>
        <v/>
      </c>
    </row>
    <row r="596" spans="1:9">
      <c r="A596" s="203"/>
      <c r="B596" s="201"/>
      <c r="C596" s="200"/>
      <c r="D596" s="202"/>
      <c r="E596" s="201"/>
      <c r="F596" s="200"/>
      <c r="G596" s="200"/>
      <c r="H596" s="199"/>
      <c r="I596" s="197" t="str">
        <f t="shared" si="9"/>
        <v/>
      </c>
    </row>
    <row r="597" spans="1:9">
      <c r="A597" s="203"/>
      <c r="B597" s="201"/>
      <c r="C597" s="200"/>
      <c r="D597" s="202"/>
      <c r="E597" s="201"/>
      <c r="F597" s="200"/>
      <c r="G597" s="200"/>
      <c r="H597" s="199"/>
      <c r="I597" s="197" t="str">
        <f t="shared" si="9"/>
        <v/>
      </c>
    </row>
    <row r="598" spans="1:9">
      <c r="A598" s="203"/>
      <c r="B598" s="201"/>
      <c r="C598" s="200"/>
      <c r="D598" s="202"/>
      <c r="E598" s="201"/>
      <c r="F598" s="200"/>
      <c r="G598" s="200"/>
      <c r="H598" s="199"/>
      <c r="I598" s="197" t="str">
        <f t="shared" si="9"/>
        <v/>
      </c>
    </row>
    <row r="599" spans="1:9">
      <c r="A599" s="203"/>
      <c r="B599" s="201"/>
      <c r="C599" s="200"/>
      <c r="D599" s="202"/>
      <c r="E599" s="201"/>
      <c r="F599" s="200"/>
      <c r="G599" s="200"/>
      <c r="H599" s="199"/>
      <c r="I599" s="197" t="str">
        <f t="shared" si="9"/>
        <v/>
      </c>
    </row>
    <row r="600" spans="1:9">
      <c r="A600" s="203"/>
      <c r="B600" s="201"/>
      <c r="C600" s="200"/>
      <c r="D600" s="202"/>
      <c r="E600" s="201"/>
      <c r="F600" s="200"/>
      <c r="G600" s="200"/>
      <c r="H600" s="199"/>
      <c r="I600" s="197" t="str">
        <f t="shared" si="9"/>
        <v/>
      </c>
    </row>
    <row r="601" spans="1:9">
      <c r="A601" s="203"/>
      <c r="B601" s="201"/>
      <c r="C601" s="200"/>
      <c r="D601" s="202"/>
      <c r="E601" s="201"/>
      <c r="F601" s="200"/>
      <c r="G601" s="200"/>
      <c r="H601" s="199"/>
      <c r="I601" s="197" t="str">
        <f t="shared" si="9"/>
        <v/>
      </c>
    </row>
    <row r="602" spans="1:9">
      <c r="A602" s="203"/>
      <c r="B602" s="201"/>
      <c r="C602" s="200"/>
      <c r="D602" s="202"/>
      <c r="E602" s="201"/>
      <c r="F602" s="200"/>
      <c r="G602" s="200"/>
      <c r="H602" s="199"/>
      <c r="I602" s="197" t="str">
        <f t="shared" si="9"/>
        <v/>
      </c>
    </row>
    <row r="603" spans="1:9">
      <c r="A603" s="203"/>
      <c r="B603" s="201"/>
      <c r="C603" s="200"/>
      <c r="D603" s="202"/>
      <c r="E603" s="201"/>
      <c r="F603" s="200"/>
      <c r="G603" s="200"/>
      <c r="H603" s="199"/>
      <c r="I603" s="197" t="str">
        <f t="shared" si="9"/>
        <v/>
      </c>
    </row>
    <row r="604" spans="1:9">
      <c r="A604" s="203"/>
      <c r="B604" s="201"/>
      <c r="C604" s="200"/>
      <c r="D604" s="202"/>
      <c r="E604" s="201"/>
      <c r="F604" s="200"/>
      <c r="G604" s="200"/>
      <c r="H604" s="199"/>
      <c r="I604" s="197" t="str">
        <f t="shared" si="9"/>
        <v/>
      </c>
    </row>
    <row r="605" spans="1:9">
      <c r="A605" s="203"/>
      <c r="B605" s="201"/>
      <c r="C605" s="200"/>
      <c r="D605" s="202"/>
      <c r="E605" s="201"/>
      <c r="F605" s="200"/>
      <c r="G605" s="200"/>
      <c r="H605" s="199"/>
      <c r="I605" s="197" t="str">
        <f t="shared" si="9"/>
        <v/>
      </c>
    </row>
    <row r="606" spans="1:9">
      <c r="A606" s="203"/>
      <c r="B606" s="201"/>
      <c r="C606" s="200"/>
      <c r="D606" s="202"/>
      <c r="E606" s="201"/>
      <c r="F606" s="200"/>
      <c r="G606" s="200"/>
      <c r="H606" s="199"/>
      <c r="I606" s="197" t="str">
        <f t="shared" si="9"/>
        <v/>
      </c>
    </row>
    <row r="607" spans="1:9">
      <c r="A607" s="203"/>
      <c r="B607" s="201"/>
      <c r="C607" s="200"/>
      <c r="D607" s="202"/>
      <c r="E607" s="201"/>
      <c r="F607" s="200"/>
      <c r="G607" s="200"/>
      <c r="H607" s="199"/>
      <c r="I607" s="197" t="str">
        <f t="shared" si="9"/>
        <v/>
      </c>
    </row>
    <row r="608" spans="1:9">
      <c r="A608" s="203"/>
      <c r="B608" s="201"/>
      <c r="C608" s="200"/>
      <c r="D608" s="202"/>
      <c r="E608" s="201"/>
      <c r="F608" s="200"/>
      <c r="G608" s="200"/>
      <c r="H608" s="199"/>
      <c r="I608" s="197" t="str">
        <f t="shared" si="9"/>
        <v/>
      </c>
    </row>
    <row r="609" spans="1:9">
      <c r="A609" s="203"/>
      <c r="B609" s="201"/>
      <c r="C609" s="200"/>
      <c r="D609" s="202"/>
      <c r="E609" s="201"/>
      <c r="F609" s="200"/>
      <c r="G609" s="200"/>
      <c r="H609" s="199"/>
      <c r="I609" s="197" t="str">
        <f t="shared" si="9"/>
        <v/>
      </c>
    </row>
    <row r="610" spans="1:9">
      <c r="A610" s="203"/>
      <c r="B610" s="201"/>
      <c r="C610" s="200"/>
      <c r="D610" s="202"/>
      <c r="E610" s="201"/>
      <c r="F610" s="200"/>
      <c r="G610" s="200"/>
      <c r="H610" s="199"/>
      <c r="I610" s="197" t="str">
        <f t="shared" si="9"/>
        <v/>
      </c>
    </row>
    <row r="611" spans="1:9">
      <c r="A611" s="203"/>
      <c r="B611" s="201"/>
      <c r="C611" s="200"/>
      <c r="D611" s="202"/>
      <c r="E611" s="201"/>
      <c r="F611" s="200"/>
      <c r="G611" s="200"/>
      <c r="H611" s="199"/>
      <c r="I611" s="197" t="str">
        <f t="shared" si="9"/>
        <v/>
      </c>
    </row>
    <row r="612" spans="1:9">
      <c r="A612" s="203"/>
      <c r="B612" s="201"/>
      <c r="C612" s="200"/>
      <c r="D612" s="202"/>
      <c r="E612" s="201"/>
      <c r="F612" s="200"/>
      <c r="G612" s="200"/>
      <c r="H612" s="199"/>
      <c r="I612" s="197" t="str">
        <f t="shared" si="9"/>
        <v/>
      </c>
    </row>
    <row r="613" spans="1:9">
      <c r="A613" s="203"/>
      <c r="B613" s="201"/>
      <c r="C613" s="200"/>
      <c r="D613" s="202"/>
      <c r="E613" s="201"/>
      <c r="F613" s="200"/>
      <c r="G613" s="200"/>
      <c r="H613" s="199"/>
      <c r="I613" s="197" t="str">
        <f t="shared" si="9"/>
        <v/>
      </c>
    </row>
    <row r="614" spans="1:9">
      <c r="A614" s="203"/>
      <c r="B614" s="201"/>
      <c r="C614" s="200"/>
      <c r="D614" s="202"/>
      <c r="E614" s="201"/>
      <c r="G614" s="200"/>
      <c r="H614" s="199"/>
      <c r="I614" s="197" t="str">
        <f t="shared" si="9"/>
        <v/>
      </c>
    </row>
    <row r="615" spans="1:9">
      <c r="A615" s="203"/>
      <c r="B615" s="201"/>
      <c r="C615" s="200"/>
      <c r="D615" s="202"/>
      <c r="E615" s="201"/>
      <c r="F615" s="200"/>
      <c r="G615" s="200"/>
      <c r="H615" s="199"/>
      <c r="I615" s="197" t="str">
        <f t="shared" si="9"/>
        <v/>
      </c>
    </row>
    <row r="616" spans="1:9">
      <c r="A616" s="203"/>
      <c r="B616" s="201"/>
      <c r="C616" s="200"/>
      <c r="D616" s="202"/>
      <c r="E616" s="201"/>
      <c r="F616" s="200"/>
      <c r="G616" s="200"/>
      <c r="H616" s="199"/>
      <c r="I616" s="197" t="str">
        <f t="shared" si="9"/>
        <v/>
      </c>
    </row>
    <row r="617" spans="1:9">
      <c r="A617" s="203"/>
      <c r="B617" s="201"/>
      <c r="C617" s="200"/>
      <c r="D617" s="202"/>
      <c r="E617" s="201"/>
      <c r="F617" s="200"/>
      <c r="G617" s="200"/>
      <c r="H617" s="199"/>
      <c r="I617" s="197" t="str">
        <f t="shared" si="9"/>
        <v/>
      </c>
    </row>
    <row r="618" spans="1:9">
      <c r="A618" s="203"/>
      <c r="B618" s="201"/>
      <c r="C618" s="200"/>
      <c r="D618" s="202"/>
      <c r="E618" s="201"/>
      <c r="F618" s="200"/>
      <c r="G618" s="200"/>
      <c r="H618" s="199"/>
      <c r="I618" s="197" t="str">
        <f t="shared" si="9"/>
        <v/>
      </c>
    </row>
    <row r="619" spans="1:9" ht="26.4">
      <c r="A619" s="209" t="s">
        <v>1805</v>
      </c>
      <c r="B619" s="201"/>
      <c r="C619" s="200"/>
      <c r="D619" s="202"/>
      <c r="E619" s="201"/>
      <c r="F619" s="200"/>
      <c r="G619" s="200"/>
      <c r="H619" s="199"/>
    </row>
    <row r="620" spans="1:9" ht="52.8">
      <c r="A620" s="205">
        <v>8490</v>
      </c>
      <c r="B620" s="201" t="s">
        <v>1800</v>
      </c>
      <c r="C620" s="200" t="s">
        <v>1314</v>
      </c>
      <c r="D620" s="202">
        <v>8.25</v>
      </c>
      <c r="E620" s="201" t="s">
        <v>1803</v>
      </c>
      <c r="F620" s="200" t="s">
        <v>1474</v>
      </c>
      <c r="G620" s="200" t="s">
        <v>1804</v>
      </c>
      <c r="H620" s="199">
        <v>40436</v>
      </c>
      <c r="I620" s="197" t="str">
        <f>B620&amp;" "&amp;F620&amp;" HP"&amp;"/"&amp;G620</f>
        <v>Aerial Lift, Self-Propelled to 15 HP/37 ft</v>
      </c>
    </row>
    <row r="621" spans="1:9" ht="52.8">
      <c r="A621" s="205">
        <v>8491</v>
      </c>
      <c r="B621" s="201" t="s">
        <v>1800</v>
      </c>
      <c r="C621" s="200" t="s">
        <v>1314</v>
      </c>
      <c r="D621" s="202">
        <v>12.25</v>
      </c>
      <c r="E621" s="201" t="s">
        <v>1803</v>
      </c>
      <c r="F621" s="200" t="s">
        <v>1338</v>
      </c>
      <c r="G621" s="200" t="s">
        <v>1654</v>
      </c>
      <c r="H621" s="199">
        <v>40436</v>
      </c>
      <c r="I621" s="197" t="str">
        <f>B621&amp;" "&amp;F621&amp;" HP"&amp;"/"&amp;G621</f>
        <v>Aerial Lift, Self-Propelled to 30 HP/60 ft</v>
      </c>
    </row>
    <row r="622" spans="1:9" ht="52.8">
      <c r="A622" s="205">
        <v>8492</v>
      </c>
      <c r="B622" s="201" t="s">
        <v>1800</v>
      </c>
      <c r="C622" s="200" t="s">
        <v>1314</v>
      </c>
      <c r="D622" s="202">
        <v>21</v>
      </c>
      <c r="E622" s="201" t="s">
        <v>1803</v>
      </c>
      <c r="F622" s="200" t="s">
        <v>1333</v>
      </c>
      <c r="G622" s="200" t="s">
        <v>1802</v>
      </c>
      <c r="H622" s="199">
        <v>40436</v>
      </c>
      <c r="I622" s="197" t="str">
        <f>B622&amp;" "&amp;F622&amp;" HP"&amp;"/"&amp;G622</f>
        <v>Aerial Lift, Self-Propelled to 50 HP/70 ft</v>
      </c>
    </row>
    <row r="623" spans="1:9" ht="39.6">
      <c r="A623" s="205">
        <v>8493</v>
      </c>
      <c r="B623" s="201" t="s">
        <v>1800</v>
      </c>
      <c r="C623" s="200" t="s">
        <v>1314</v>
      </c>
      <c r="D623" s="202">
        <v>55</v>
      </c>
      <c r="E623" s="201" t="s">
        <v>1799</v>
      </c>
      <c r="F623" s="200" t="s">
        <v>1411</v>
      </c>
      <c r="G623" s="200" t="s">
        <v>1801</v>
      </c>
      <c r="H623" s="199">
        <v>40436</v>
      </c>
      <c r="I623" s="197" t="str">
        <f>B623&amp;" "&amp;F623&amp;" HP"&amp;"/"&amp;G623</f>
        <v>Aerial Lift, Self-Propelled to 85 HP/125 ft</v>
      </c>
    </row>
    <row r="624" spans="1:9" ht="39.6">
      <c r="A624" s="205">
        <v>8494</v>
      </c>
      <c r="B624" s="201" t="s">
        <v>1800</v>
      </c>
      <c r="C624" s="200" t="s">
        <v>1314</v>
      </c>
      <c r="D624" s="202">
        <v>67</v>
      </c>
      <c r="E624" s="201" t="s">
        <v>1799</v>
      </c>
      <c r="F624" s="200" t="s">
        <v>1771</v>
      </c>
      <c r="G624" s="200" t="s">
        <v>1384</v>
      </c>
      <c r="H624" s="199">
        <v>40436</v>
      </c>
      <c r="I624" s="197" t="str">
        <f>B624&amp;" "&amp;F624&amp;" HP"&amp;"/"&amp;G624</f>
        <v>Aerial Lift, Self-Propelled to 130 HP/150 ft</v>
      </c>
    </row>
    <row r="625" spans="1:9" ht="66">
      <c r="A625" s="205">
        <v>8486</v>
      </c>
      <c r="B625" s="201" t="s">
        <v>1796</v>
      </c>
      <c r="C625" s="200" t="s">
        <v>1314</v>
      </c>
      <c r="D625" s="202">
        <v>6.75</v>
      </c>
      <c r="E625" s="201" t="s">
        <v>1795</v>
      </c>
      <c r="F625" s="200"/>
      <c r="G625" s="200" t="s">
        <v>1728</v>
      </c>
      <c r="H625" s="199">
        <v>40436</v>
      </c>
      <c r="I625" s="197" t="str">
        <f>B625&amp;" "&amp;" - "&amp;F625&amp;G625</f>
        <v>Aerial Lift, Truck Mntd  - 40 ft</v>
      </c>
    </row>
    <row r="626" spans="1:9" ht="66">
      <c r="A626" s="205">
        <v>8487</v>
      </c>
      <c r="B626" s="201" t="s">
        <v>1796</v>
      </c>
      <c r="C626" s="200" t="s">
        <v>1314</v>
      </c>
      <c r="D626" s="202">
        <v>12.25</v>
      </c>
      <c r="E626" s="201" t="s">
        <v>1795</v>
      </c>
      <c r="F626" s="200"/>
      <c r="G626" s="200" t="s">
        <v>1798</v>
      </c>
      <c r="H626" s="199">
        <v>40436</v>
      </c>
      <c r="I626" s="197" t="str">
        <f>B626&amp;" "&amp;" - "&amp;F626&amp;G626</f>
        <v>Aerial Lift, Truck Mntd  - 61 ft</v>
      </c>
    </row>
    <row r="627" spans="1:9" ht="66">
      <c r="A627" s="205">
        <v>8488</v>
      </c>
      <c r="B627" s="207" t="s">
        <v>1796</v>
      </c>
      <c r="C627" s="200" t="s">
        <v>1314</v>
      </c>
      <c r="D627" s="202">
        <v>23.5</v>
      </c>
      <c r="E627" s="201" t="s">
        <v>1795</v>
      </c>
      <c r="F627" s="200"/>
      <c r="G627" s="200" t="s">
        <v>1797</v>
      </c>
      <c r="H627" s="199">
        <v>40436</v>
      </c>
      <c r="I627" s="197" t="str">
        <f>B627&amp;" "&amp;" - "&amp;F627&amp;G627</f>
        <v>Aerial Lift, Truck Mntd  - 80 ft</v>
      </c>
    </row>
    <row r="628" spans="1:9" ht="66">
      <c r="A628" s="205">
        <v>8489</v>
      </c>
      <c r="B628" s="207" t="s">
        <v>1796</v>
      </c>
      <c r="C628" s="200" t="s">
        <v>1314</v>
      </c>
      <c r="D628" s="204">
        <v>34</v>
      </c>
      <c r="E628" s="201" t="s">
        <v>1795</v>
      </c>
      <c r="F628" s="200"/>
      <c r="G628" s="200" t="s">
        <v>1794</v>
      </c>
      <c r="H628" s="199">
        <v>40436</v>
      </c>
      <c r="I628" s="197" t="str">
        <f>B628&amp;" "&amp;" - "&amp;F628&amp;G628</f>
        <v>Aerial Lift, Truck Mntd  - 100 ft</v>
      </c>
    </row>
    <row r="629" spans="1:9" ht="26.4">
      <c r="A629" s="205">
        <v>8010</v>
      </c>
      <c r="B629" s="207" t="s">
        <v>1784</v>
      </c>
      <c r="C629" s="200" t="s">
        <v>1314</v>
      </c>
      <c r="D629" s="204">
        <v>1.5</v>
      </c>
      <c r="E629" s="201" t="s">
        <v>1783</v>
      </c>
      <c r="F629" s="200" t="s">
        <v>1340</v>
      </c>
      <c r="G629" s="200" t="s">
        <v>1793</v>
      </c>
      <c r="H629" s="199">
        <v>40436</v>
      </c>
      <c r="I629" s="197" t="str">
        <f t="shared" ref="I629:I636" si="10">B629&amp;" "&amp;F629&amp;" HP"&amp;"/"&amp;G629</f>
        <v>Air Compressor to 10 HP/41 cfm</v>
      </c>
    </row>
    <row r="630" spans="1:9" ht="26.4">
      <c r="A630" s="205">
        <v>8011</v>
      </c>
      <c r="B630" s="207" t="s">
        <v>1784</v>
      </c>
      <c r="C630" s="200" t="s">
        <v>1314</v>
      </c>
      <c r="D630" s="204">
        <v>7</v>
      </c>
      <c r="E630" s="201" t="s">
        <v>1783</v>
      </c>
      <c r="F630" s="200" t="s">
        <v>1338</v>
      </c>
      <c r="G630" s="200" t="s">
        <v>1792</v>
      </c>
      <c r="H630" s="199">
        <v>40436</v>
      </c>
      <c r="I630" s="197" t="str">
        <f t="shared" si="10"/>
        <v>Air Compressor to 30 HP/103 cfm</v>
      </c>
    </row>
    <row r="631" spans="1:9" ht="26.4">
      <c r="A631" s="205">
        <v>8012</v>
      </c>
      <c r="B631" s="207" t="s">
        <v>1784</v>
      </c>
      <c r="C631" s="200" t="s">
        <v>1314</v>
      </c>
      <c r="D631" s="204">
        <v>9.25</v>
      </c>
      <c r="E631" s="201" t="s">
        <v>1783</v>
      </c>
      <c r="F631" s="200" t="s">
        <v>1333</v>
      </c>
      <c r="G631" s="200" t="s">
        <v>1791</v>
      </c>
      <c r="H631" s="199">
        <v>40436</v>
      </c>
      <c r="I631" s="197" t="str">
        <f t="shared" si="10"/>
        <v>Air Compressor to 50 HP/130 cfm</v>
      </c>
    </row>
    <row r="632" spans="1:9" ht="26.4">
      <c r="A632" s="205">
        <v>8013</v>
      </c>
      <c r="B632" s="207" t="s">
        <v>1784</v>
      </c>
      <c r="C632" s="200" t="s">
        <v>1314</v>
      </c>
      <c r="D632" s="204">
        <v>20</v>
      </c>
      <c r="E632" s="201" t="s">
        <v>1783</v>
      </c>
      <c r="F632" s="200" t="s">
        <v>1628</v>
      </c>
      <c r="G632" s="200" t="s">
        <v>1790</v>
      </c>
      <c r="H632" s="199">
        <v>40436</v>
      </c>
      <c r="I632" s="197" t="str">
        <f t="shared" si="10"/>
        <v>Air Compressor to 90 HP/175 cfm</v>
      </c>
    </row>
    <row r="633" spans="1:9" ht="26.4">
      <c r="A633" s="205">
        <v>8014</v>
      </c>
      <c r="B633" s="207" t="s">
        <v>1784</v>
      </c>
      <c r="C633" s="200" t="s">
        <v>1314</v>
      </c>
      <c r="D633" s="204">
        <v>27.5</v>
      </c>
      <c r="E633" s="201" t="s">
        <v>1783</v>
      </c>
      <c r="F633" s="200" t="s">
        <v>1789</v>
      </c>
      <c r="G633" s="200" t="s">
        <v>1788</v>
      </c>
      <c r="H633" s="199">
        <v>40436</v>
      </c>
      <c r="I633" s="197" t="str">
        <f t="shared" si="10"/>
        <v>Air Compressor to 145 HP/400 cfm</v>
      </c>
    </row>
    <row r="634" spans="1:9" ht="26.4">
      <c r="A634" s="205">
        <v>8015</v>
      </c>
      <c r="B634" s="207" t="s">
        <v>1784</v>
      </c>
      <c r="C634" s="200" t="s">
        <v>1314</v>
      </c>
      <c r="D634" s="202">
        <v>45.5</v>
      </c>
      <c r="E634" s="201" t="s">
        <v>1783</v>
      </c>
      <c r="F634" s="200" t="s">
        <v>1434</v>
      </c>
      <c r="G634" s="200" t="s">
        <v>1787</v>
      </c>
      <c r="H634" s="199">
        <v>40436</v>
      </c>
      <c r="I634" s="197" t="str">
        <f t="shared" si="10"/>
        <v>Air Compressor to 230 HP/575 cfm</v>
      </c>
    </row>
    <row r="635" spans="1:9" ht="26.4">
      <c r="A635" s="205">
        <v>8016</v>
      </c>
      <c r="B635" s="207" t="s">
        <v>1784</v>
      </c>
      <c r="C635" s="200" t="s">
        <v>1314</v>
      </c>
      <c r="D635" s="202">
        <v>51</v>
      </c>
      <c r="E635" s="201" t="s">
        <v>1783</v>
      </c>
      <c r="F635" s="200" t="s">
        <v>1786</v>
      </c>
      <c r="G635" s="200" t="s">
        <v>1785</v>
      </c>
      <c r="H635" s="199">
        <v>40436</v>
      </c>
      <c r="I635" s="197" t="str">
        <f t="shared" si="10"/>
        <v>Air Compressor to 355 HP/1100 cfm</v>
      </c>
    </row>
    <row r="636" spans="1:9" ht="26.4">
      <c r="A636" s="205">
        <v>8017</v>
      </c>
      <c r="B636" s="207" t="s">
        <v>1784</v>
      </c>
      <c r="C636" s="200" t="s">
        <v>1314</v>
      </c>
      <c r="D636" s="202">
        <v>80</v>
      </c>
      <c r="E636" s="201" t="s">
        <v>1783</v>
      </c>
      <c r="F636" s="200" t="s">
        <v>1491</v>
      </c>
      <c r="G636" s="200" t="s">
        <v>1782</v>
      </c>
      <c r="H636" s="199">
        <v>40436</v>
      </c>
      <c r="I636" s="197" t="str">
        <f t="shared" si="10"/>
        <v>Air Compressor to 500 HP/1600 cfm</v>
      </c>
    </row>
    <row r="637" spans="1:9">
      <c r="A637" s="205">
        <v>8040</v>
      </c>
      <c r="B637" s="207" t="s">
        <v>1781</v>
      </c>
      <c r="C637" s="200" t="s">
        <v>1314</v>
      </c>
      <c r="D637" s="202">
        <v>25.5</v>
      </c>
      <c r="E637" s="201"/>
      <c r="F637" s="200" t="s">
        <v>1532</v>
      </c>
      <c r="G637" s="200"/>
      <c r="H637" s="199">
        <v>40436</v>
      </c>
      <c r="I637" s="197" t="str">
        <f>B637&amp;" "&amp;F637&amp;" HP"</f>
        <v>Ambulance to 150 HP</v>
      </c>
    </row>
    <row r="638" spans="1:9">
      <c r="A638" s="205">
        <v>8041</v>
      </c>
      <c r="B638" s="207" t="s">
        <v>1781</v>
      </c>
      <c r="C638" s="200" t="s">
        <v>1314</v>
      </c>
      <c r="D638" s="202">
        <v>32.5</v>
      </c>
      <c r="E638" s="201"/>
      <c r="F638" s="200" t="s">
        <v>1703</v>
      </c>
      <c r="G638" s="200"/>
      <c r="H638" s="199">
        <v>40436</v>
      </c>
      <c r="I638" s="197" t="str">
        <f>B638&amp;" "&amp;F638&amp;" HP"</f>
        <v>Ambulance to 210 HP</v>
      </c>
    </row>
    <row r="639" spans="1:9">
      <c r="A639" s="205">
        <v>8060</v>
      </c>
      <c r="B639" s="207" t="s">
        <v>1780</v>
      </c>
      <c r="C639" s="200" t="s">
        <v>1314</v>
      </c>
      <c r="D639" s="202">
        <v>1.3</v>
      </c>
      <c r="E639" s="201" t="s">
        <v>1779</v>
      </c>
      <c r="F639" s="200" t="s">
        <v>1519</v>
      </c>
      <c r="G639" s="200" t="s">
        <v>1590</v>
      </c>
      <c r="H639" s="199">
        <v>40436</v>
      </c>
      <c r="I639" s="197" t="str">
        <f>B639&amp;" "&amp;F639&amp;" HP"&amp;"/"&amp;G639</f>
        <v>Auger, Portable to 6 HP/16 in</v>
      </c>
    </row>
    <row r="640" spans="1:9">
      <c r="A640" s="205">
        <v>8061</v>
      </c>
      <c r="B640" s="207" t="s">
        <v>1780</v>
      </c>
      <c r="C640" s="200" t="s">
        <v>1314</v>
      </c>
      <c r="D640" s="202">
        <v>3.5</v>
      </c>
      <c r="E640" s="201" t="s">
        <v>1779</v>
      </c>
      <c r="F640" s="200" t="s">
        <v>1776</v>
      </c>
      <c r="G640" s="200" t="s">
        <v>1692</v>
      </c>
      <c r="H640" s="199">
        <v>40436</v>
      </c>
      <c r="I640" s="197" t="str">
        <f>B640&amp;" "&amp;F640&amp;" HP"&amp;"/"&amp;G640</f>
        <v>Auger, Portable to 13 HP/18 in</v>
      </c>
    </row>
    <row r="641" spans="1:9" ht="79.2">
      <c r="A641" s="205">
        <v>8062</v>
      </c>
      <c r="B641" s="207" t="s">
        <v>1778</v>
      </c>
      <c r="C641" s="200" t="s">
        <v>1314</v>
      </c>
      <c r="D641" s="202">
        <v>1.3</v>
      </c>
      <c r="E641" s="201" t="s">
        <v>1777</v>
      </c>
      <c r="F641" s="200" t="s">
        <v>1776</v>
      </c>
      <c r="G641" s="200" t="s">
        <v>1529</v>
      </c>
      <c r="H641" s="199">
        <v>40436</v>
      </c>
      <c r="I641" s="197" t="str">
        <f>B641&amp;" "&amp;F641&amp;" HP"&amp;"/"&amp;G641</f>
        <v>Auger, Tractor Mntd to 13 HP/36 in</v>
      </c>
    </row>
    <row r="642" spans="1:9" ht="79.2">
      <c r="A642" s="205">
        <v>8063</v>
      </c>
      <c r="B642" s="207" t="s">
        <v>1775</v>
      </c>
      <c r="C642" s="200" t="s">
        <v>1314</v>
      </c>
      <c r="D642" s="202">
        <v>29</v>
      </c>
      <c r="E642" s="201" t="s">
        <v>1774</v>
      </c>
      <c r="F642" s="200" t="s">
        <v>1502</v>
      </c>
      <c r="G642" s="200" t="s">
        <v>1530</v>
      </c>
      <c r="H642" s="199">
        <v>40436</v>
      </c>
      <c r="I642" s="197" t="str">
        <f>B642&amp;" "&amp;F642&amp;" HP"&amp;"/"&amp;G642</f>
        <v>Auger, Truck Mntd to 100 HP/24 in</v>
      </c>
    </row>
    <row r="643" spans="1:9">
      <c r="A643" s="205">
        <v>8070</v>
      </c>
      <c r="B643" s="207" t="s">
        <v>1773</v>
      </c>
      <c r="C643" s="200" t="s">
        <v>1369</v>
      </c>
      <c r="D643" s="202">
        <v>0.5</v>
      </c>
      <c r="E643" s="201" t="s">
        <v>1368</v>
      </c>
      <c r="F643" s="200" t="s">
        <v>1771</v>
      </c>
      <c r="G643" s="200"/>
      <c r="H643" s="199">
        <v>40436</v>
      </c>
      <c r="I643" s="197" t="str">
        <f>B643&amp;" "&amp;" - "&amp;E643&amp;" "&amp;F643&amp;" HP"</f>
        <v>Automobile  - Transporting people to 130 HP</v>
      </c>
    </row>
    <row r="644" spans="1:9">
      <c r="A644" s="205">
        <v>8071</v>
      </c>
      <c r="B644" s="207" t="s">
        <v>1773</v>
      </c>
      <c r="C644" s="200" t="s">
        <v>1314</v>
      </c>
      <c r="D644" s="202">
        <v>13</v>
      </c>
      <c r="E644" s="201" t="s">
        <v>1772</v>
      </c>
      <c r="F644" s="200" t="s">
        <v>1771</v>
      </c>
      <c r="G644" s="200"/>
      <c r="H644" s="199">
        <v>40436</v>
      </c>
      <c r="I644" s="197" t="str">
        <f>B644&amp;" "&amp;" - "&amp;E644&amp;" "&amp;F644&amp;" HP"</f>
        <v>Automobile  - Transporting cargo to 130 HP</v>
      </c>
    </row>
    <row r="645" spans="1:9">
      <c r="A645" s="205">
        <v>8072</v>
      </c>
      <c r="B645" s="207" t="s">
        <v>1769</v>
      </c>
      <c r="C645" s="200" t="s">
        <v>1369</v>
      </c>
      <c r="D645" s="202">
        <v>0.6</v>
      </c>
      <c r="E645" s="201" t="s">
        <v>1770</v>
      </c>
      <c r="F645" s="200" t="s">
        <v>1348</v>
      </c>
      <c r="G645" s="200"/>
      <c r="H645" s="199">
        <v>40436</v>
      </c>
      <c r="I645" s="197" t="str">
        <f>B645&amp;" "&amp;" - "&amp;E645&amp;" "&amp;F645&amp;" HP"</f>
        <v>Automobile, Police  - Patrolling to 250 HP</v>
      </c>
    </row>
    <row r="646" spans="1:9" ht="26.4">
      <c r="A646" s="205">
        <v>8073</v>
      </c>
      <c r="B646" s="207" t="s">
        <v>1769</v>
      </c>
      <c r="C646" s="200" t="s">
        <v>1314</v>
      </c>
      <c r="D646" s="202">
        <v>16.25</v>
      </c>
      <c r="E646" s="201" t="s">
        <v>1768</v>
      </c>
      <c r="F646" s="200" t="s">
        <v>1348</v>
      </c>
      <c r="G646" s="200"/>
      <c r="H646" s="199">
        <v>40436</v>
      </c>
      <c r="I646" s="197" t="str">
        <f>B646&amp;" "&amp;" - "&amp;E646&amp;" "&amp;F646&amp;" HP"</f>
        <v>Automobile, Police  - Stationary with engine running to 250 HP</v>
      </c>
    </row>
    <row r="647" spans="1:9" ht="26.4">
      <c r="A647" s="205">
        <v>8110</v>
      </c>
      <c r="B647" s="207" t="s">
        <v>1764</v>
      </c>
      <c r="C647" s="200" t="s">
        <v>1314</v>
      </c>
      <c r="D647" s="202">
        <v>34</v>
      </c>
      <c r="E647" s="201" t="s">
        <v>1763</v>
      </c>
      <c r="F647" s="200"/>
      <c r="G647" s="200" t="s">
        <v>1767</v>
      </c>
      <c r="H647" s="199">
        <v>40436</v>
      </c>
      <c r="I647" s="197" t="str">
        <f>B647&amp;" "&amp;" - "&amp;F647&amp;G647</f>
        <v>Barge, Deck  - 50'x35'x7.25'</v>
      </c>
    </row>
    <row r="648" spans="1:9">
      <c r="A648" s="205">
        <v>8111</v>
      </c>
      <c r="B648" s="207" t="s">
        <v>1764</v>
      </c>
      <c r="C648" s="200" t="s">
        <v>1314</v>
      </c>
      <c r="D648" s="202">
        <v>49</v>
      </c>
      <c r="E648" s="201" t="s">
        <v>1763</v>
      </c>
      <c r="F648" s="200"/>
      <c r="G648" s="200" t="s">
        <v>1766</v>
      </c>
      <c r="H648" s="199">
        <v>40436</v>
      </c>
      <c r="I648" s="197" t="str">
        <f>B648&amp;" "&amp;" - "&amp;F648&amp;G648</f>
        <v>Barge, Deck  - 50'x35'x9'</v>
      </c>
    </row>
    <row r="649" spans="1:9" ht="26.4">
      <c r="A649" s="205">
        <v>8112</v>
      </c>
      <c r="B649" s="207" t="s">
        <v>1764</v>
      </c>
      <c r="C649" s="200" t="s">
        <v>1314</v>
      </c>
      <c r="D649" s="202">
        <v>60</v>
      </c>
      <c r="E649" s="201" t="s">
        <v>1763</v>
      </c>
      <c r="F649" s="200"/>
      <c r="G649" s="200" t="s">
        <v>1765</v>
      </c>
      <c r="H649" s="199">
        <v>40436</v>
      </c>
      <c r="I649" s="197" t="str">
        <f>B649&amp;" "&amp;" - "&amp;F649&amp;G649</f>
        <v>Barge, Deck  - 120'x45'x10'</v>
      </c>
    </row>
    <row r="650" spans="1:9" ht="26.4">
      <c r="A650" s="205">
        <v>8113</v>
      </c>
      <c r="B650" s="207" t="s">
        <v>1764</v>
      </c>
      <c r="C650" s="200" t="s">
        <v>1314</v>
      </c>
      <c r="D650" s="202">
        <v>75</v>
      </c>
      <c r="E650" s="201" t="s">
        <v>1763</v>
      </c>
      <c r="F650" s="200"/>
      <c r="G650" s="200" t="s">
        <v>1762</v>
      </c>
      <c r="H650" s="199">
        <v>40436</v>
      </c>
      <c r="I650" s="197" t="str">
        <f>B650&amp;" "&amp;" - "&amp;F650&amp;G650</f>
        <v>Barge, Deck  - 160'x45'x11'</v>
      </c>
    </row>
    <row r="651" spans="1:9">
      <c r="A651" s="205">
        <v>8050</v>
      </c>
      <c r="B651" s="207" t="s">
        <v>1761</v>
      </c>
      <c r="C651" s="200" t="s">
        <v>1314</v>
      </c>
      <c r="D651" s="204">
        <v>3.15</v>
      </c>
      <c r="E651" s="201" t="s">
        <v>1759</v>
      </c>
      <c r="F651" s="200" t="s">
        <v>1455</v>
      </c>
      <c r="G651" s="200"/>
      <c r="H651" s="199">
        <v>40436</v>
      </c>
      <c r="I651" s="197" t="str">
        <f>B651&amp;" "&amp;" - "&amp;E651&amp;" "&amp;F651&amp;" HP"</f>
        <v>Board, Arrow  - Trailer Mounted to 8 HP</v>
      </c>
    </row>
    <row r="652" spans="1:9">
      <c r="A652" s="205">
        <v>8051</v>
      </c>
      <c r="B652" s="207" t="s">
        <v>1760</v>
      </c>
      <c r="C652" s="200" t="s">
        <v>1314</v>
      </c>
      <c r="D652" s="204">
        <v>8.5</v>
      </c>
      <c r="E652" s="201" t="s">
        <v>1759</v>
      </c>
      <c r="F652" s="200" t="s">
        <v>1478</v>
      </c>
      <c r="G652" s="200"/>
      <c r="H652" s="199">
        <v>40436</v>
      </c>
      <c r="I652" s="197" t="str">
        <f>B652&amp;" "&amp;" - "&amp;E652&amp;" "&amp;F652&amp;" HP"</f>
        <v>Board, Message  - Trailer Mounted to 5 HP</v>
      </c>
    </row>
    <row r="653" spans="1:9">
      <c r="A653" s="205">
        <v>8133</v>
      </c>
      <c r="B653" s="207" t="s">
        <v>1752</v>
      </c>
      <c r="C653" s="200" t="s">
        <v>1314</v>
      </c>
      <c r="D653" s="202">
        <v>150</v>
      </c>
      <c r="E653" s="201" t="s">
        <v>1751</v>
      </c>
      <c r="F653" s="200" t="s">
        <v>1758</v>
      </c>
      <c r="G653" s="200" t="s">
        <v>1757</v>
      </c>
      <c r="H653" s="199">
        <v>40436</v>
      </c>
      <c r="I653" s="197" t="str">
        <f>B653&amp;" "&amp;F653&amp;" HP"&amp;"/"&amp;G653</f>
        <v>Boat, Push to 435 HP/45'x21'x6'</v>
      </c>
    </row>
    <row r="654" spans="1:9">
      <c r="A654" s="205">
        <v>8134</v>
      </c>
      <c r="B654" s="207" t="s">
        <v>1752</v>
      </c>
      <c r="C654" s="200" t="s">
        <v>1314</v>
      </c>
      <c r="D654" s="202">
        <v>200</v>
      </c>
      <c r="E654" s="201" t="s">
        <v>1751</v>
      </c>
      <c r="F654" s="200" t="s">
        <v>1756</v>
      </c>
      <c r="G654" s="200" t="s">
        <v>1755</v>
      </c>
      <c r="H654" s="199">
        <v>40436</v>
      </c>
      <c r="I654" s="197" t="str">
        <f>B654&amp;" "&amp;F654&amp;" HP"&amp;"/"&amp;G654</f>
        <v>Boat, Push to 525 HP/54'x21'x6'</v>
      </c>
    </row>
    <row r="655" spans="1:9" ht="26.4">
      <c r="A655" s="205">
        <v>8135</v>
      </c>
      <c r="B655" s="201" t="s">
        <v>1752</v>
      </c>
      <c r="C655" s="200" t="s">
        <v>1314</v>
      </c>
      <c r="D655" s="202">
        <v>250</v>
      </c>
      <c r="E655" s="201" t="s">
        <v>1751</v>
      </c>
      <c r="F655" s="200" t="s">
        <v>1754</v>
      </c>
      <c r="G655" s="200" t="s">
        <v>1753</v>
      </c>
      <c r="H655" s="199">
        <v>40436</v>
      </c>
      <c r="I655" s="197" t="str">
        <f>B655&amp;" "&amp;F655&amp;" HP"&amp;"/"&amp;G655</f>
        <v>Boat, Push to 705 HP/58'x24'x7.5'</v>
      </c>
    </row>
    <row r="656" spans="1:9">
      <c r="A656" s="205">
        <v>8136</v>
      </c>
      <c r="B656" s="201" t="s">
        <v>1752</v>
      </c>
      <c r="C656" s="200" t="s">
        <v>1314</v>
      </c>
      <c r="D656" s="202">
        <v>300</v>
      </c>
      <c r="E656" s="201" t="s">
        <v>1751</v>
      </c>
      <c r="F656" s="200" t="s">
        <v>1741</v>
      </c>
      <c r="G656" s="200" t="s">
        <v>1750</v>
      </c>
      <c r="H656" s="199">
        <v>40436</v>
      </c>
      <c r="I656" s="197" t="str">
        <f>B656&amp;" "&amp;F656&amp;" HP"&amp;"/"&amp;G656</f>
        <v>Boat, Push to 870 HP/64'x25'x8'</v>
      </c>
    </row>
    <row r="657" spans="1:9">
      <c r="A657" s="205">
        <v>8130</v>
      </c>
      <c r="B657" s="201" t="s">
        <v>1749</v>
      </c>
      <c r="C657" s="200" t="s">
        <v>1314</v>
      </c>
      <c r="D657" s="202">
        <v>0.85</v>
      </c>
      <c r="E657" s="201" t="s">
        <v>1748</v>
      </c>
      <c r="F657" s="200"/>
      <c r="G657" s="200"/>
      <c r="H657" s="199">
        <v>40436</v>
      </c>
      <c r="I657" s="197" t="str">
        <f>B657&amp;" - "&amp;E657</f>
        <v>Boat, Row - Heavy duty</v>
      </c>
    </row>
    <row r="658" spans="1:9">
      <c r="A658" s="205">
        <v>8131</v>
      </c>
      <c r="B658" s="201" t="s">
        <v>1747</v>
      </c>
      <c r="C658" s="200" t="s">
        <v>1314</v>
      </c>
      <c r="D658" s="202">
        <v>14</v>
      </c>
      <c r="E658" s="201" t="s">
        <v>1746</v>
      </c>
      <c r="F658" s="200" t="s">
        <v>1333</v>
      </c>
      <c r="G658" s="200" t="s">
        <v>1745</v>
      </c>
      <c r="H658" s="199">
        <v>40436</v>
      </c>
      <c r="I658" s="197" t="str">
        <f t="shared" ref="I658:I668" si="11">B658&amp;" "&amp;F658&amp;" HP"&amp;"/"&amp;G658</f>
        <v>Boat, Runabout to 50 HP/13'x5'</v>
      </c>
    </row>
    <row r="659" spans="1:9" ht="26.4">
      <c r="A659" s="205">
        <v>8132</v>
      </c>
      <c r="B659" s="201" t="s">
        <v>1744</v>
      </c>
      <c r="C659" s="200" t="s">
        <v>1314</v>
      </c>
      <c r="D659" s="202">
        <v>26</v>
      </c>
      <c r="E659" s="201" t="s">
        <v>1743</v>
      </c>
      <c r="F659" s="200" t="s">
        <v>1502</v>
      </c>
      <c r="G659" s="200" t="s">
        <v>1742</v>
      </c>
      <c r="H659" s="199">
        <v>40436</v>
      </c>
      <c r="I659" s="197" t="str">
        <f t="shared" si="11"/>
        <v>Boat, Tender to 100 HP/14'x7'</v>
      </c>
    </row>
    <row r="660" spans="1:9">
      <c r="A660" s="205">
        <v>8120</v>
      </c>
      <c r="B660" s="201" t="s">
        <v>1735</v>
      </c>
      <c r="C660" s="200" t="s">
        <v>1314</v>
      </c>
      <c r="D660" s="202">
        <v>250</v>
      </c>
      <c r="E660" s="201" t="s">
        <v>1734</v>
      </c>
      <c r="F660" s="200" t="s">
        <v>1741</v>
      </c>
      <c r="G660" s="200" t="s">
        <v>1740</v>
      </c>
      <c r="H660" s="199">
        <v>40436</v>
      </c>
      <c r="I660" s="197" t="str">
        <f t="shared" si="11"/>
        <v>Boat, Tow to 870 HP/55'x20'x5'</v>
      </c>
    </row>
    <row r="661" spans="1:9">
      <c r="A661" s="205">
        <v>8121</v>
      </c>
      <c r="B661" s="201" t="s">
        <v>1735</v>
      </c>
      <c r="C661" s="200" t="s">
        <v>1314</v>
      </c>
      <c r="D661" s="202">
        <v>300</v>
      </c>
      <c r="E661" s="201" t="s">
        <v>1734</v>
      </c>
      <c r="F661" s="200" t="s">
        <v>1739</v>
      </c>
      <c r="G661" s="200" t="s">
        <v>1738</v>
      </c>
      <c r="H661" s="199">
        <v>40436</v>
      </c>
      <c r="I661" s="197" t="str">
        <f t="shared" si="11"/>
        <v>Boat, Tow to 1050 HP/60'x21'x5'</v>
      </c>
    </row>
    <row r="662" spans="1:9" ht="26.4">
      <c r="A662" s="205">
        <v>8122</v>
      </c>
      <c r="B662" s="201" t="s">
        <v>1735</v>
      </c>
      <c r="C662" s="200" t="s">
        <v>1314</v>
      </c>
      <c r="D662" s="202">
        <v>450</v>
      </c>
      <c r="E662" s="201" t="s">
        <v>1734</v>
      </c>
      <c r="F662" s="200" t="s">
        <v>1737</v>
      </c>
      <c r="G662" s="200" t="s">
        <v>1736</v>
      </c>
      <c r="H662" s="199">
        <v>40436</v>
      </c>
      <c r="I662" s="197" t="str">
        <f t="shared" si="11"/>
        <v>Boat, Tow to 1350 HP/70'x30'x7.5'</v>
      </c>
    </row>
    <row r="663" spans="1:9" ht="26.4">
      <c r="A663" s="205">
        <v>8123</v>
      </c>
      <c r="B663" s="201" t="s">
        <v>1735</v>
      </c>
      <c r="C663" s="200" t="s">
        <v>1314</v>
      </c>
      <c r="D663" s="202">
        <v>830</v>
      </c>
      <c r="E663" s="201" t="s">
        <v>1734</v>
      </c>
      <c r="F663" s="200" t="s">
        <v>1733</v>
      </c>
      <c r="G663" s="200" t="s">
        <v>1732</v>
      </c>
      <c r="H663" s="199">
        <v>40436</v>
      </c>
      <c r="I663" s="197" t="str">
        <f t="shared" si="11"/>
        <v>Boat, Tow to 2000 HP/120'x34'x8'</v>
      </c>
    </row>
    <row r="664" spans="1:9">
      <c r="A664" s="205">
        <v>8140</v>
      </c>
      <c r="B664" s="201" t="s">
        <v>1727</v>
      </c>
      <c r="C664" s="200" t="s">
        <v>1314</v>
      </c>
      <c r="D664" s="202">
        <v>33.5</v>
      </c>
      <c r="E664" s="201" t="s">
        <v>1726</v>
      </c>
      <c r="F664" s="200" t="s">
        <v>1502</v>
      </c>
      <c r="G664" s="200" t="s">
        <v>1731</v>
      </c>
      <c r="H664" s="199">
        <v>40436</v>
      </c>
      <c r="I664" s="197" t="str">
        <f t="shared" si="11"/>
        <v>Boat, Tug to 100 HP/16 ft</v>
      </c>
    </row>
    <row r="665" spans="1:9">
      <c r="A665" s="205">
        <v>8141</v>
      </c>
      <c r="B665" s="201" t="s">
        <v>1727</v>
      </c>
      <c r="C665" s="200" t="s">
        <v>1314</v>
      </c>
      <c r="D665" s="202">
        <v>53</v>
      </c>
      <c r="E665" s="201" t="s">
        <v>1726</v>
      </c>
      <c r="F665" s="200" t="s">
        <v>1352</v>
      </c>
      <c r="G665" s="200" t="s">
        <v>1730</v>
      </c>
      <c r="H665" s="199">
        <v>40436</v>
      </c>
      <c r="I665" s="197" t="str">
        <f t="shared" si="11"/>
        <v>Boat, Tug to 175 HP/18 ft</v>
      </c>
    </row>
    <row r="666" spans="1:9">
      <c r="A666" s="205">
        <v>8142</v>
      </c>
      <c r="B666" s="201" t="s">
        <v>1727</v>
      </c>
      <c r="C666" s="200" t="s">
        <v>1314</v>
      </c>
      <c r="D666" s="202">
        <v>65</v>
      </c>
      <c r="E666" s="201" t="s">
        <v>1726</v>
      </c>
      <c r="F666" s="200" t="s">
        <v>1348</v>
      </c>
      <c r="G666" s="200" t="s">
        <v>1729</v>
      </c>
      <c r="H666" s="199">
        <v>40436</v>
      </c>
      <c r="I666" s="197" t="str">
        <f t="shared" si="11"/>
        <v>Boat, Tug to 250 HP/26 ft</v>
      </c>
    </row>
    <row r="667" spans="1:9">
      <c r="A667" s="205">
        <v>8143</v>
      </c>
      <c r="B667" s="201" t="s">
        <v>1727</v>
      </c>
      <c r="C667" s="200" t="s">
        <v>1314</v>
      </c>
      <c r="D667" s="202">
        <v>150</v>
      </c>
      <c r="E667" s="201" t="s">
        <v>1726</v>
      </c>
      <c r="F667" s="200" t="s">
        <v>1376</v>
      </c>
      <c r="G667" s="200" t="s">
        <v>1728</v>
      </c>
      <c r="H667" s="199">
        <v>40436</v>
      </c>
      <c r="I667" s="197" t="str">
        <f t="shared" si="11"/>
        <v>Boat, Tug to 380 HP/40 ft</v>
      </c>
    </row>
    <row r="668" spans="1:9">
      <c r="A668" s="205">
        <v>8144</v>
      </c>
      <c r="B668" s="201" t="s">
        <v>1727</v>
      </c>
      <c r="C668" s="200" t="s">
        <v>1314</v>
      </c>
      <c r="D668" s="202">
        <v>225</v>
      </c>
      <c r="E668" s="201" t="s">
        <v>1726</v>
      </c>
      <c r="F668" s="200" t="s">
        <v>1725</v>
      </c>
      <c r="G668" s="200" t="s">
        <v>1724</v>
      </c>
      <c r="H668" s="199">
        <v>40436</v>
      </c>
      <c r="I668" s="197" t="str">
        <f t="shared" si="11"/>
        <v>Boat, Tug to 700 HP/51 ft</v>
      </c>
    </row>
    <row r="669" spans="1:9">
      <c r="A669" s="205">
        <v>8419</v>
      </c>
      <c r="B669" s="201" t="s">
        <v>1723</v>
      </c>
      <c r="C669" s="200" t="s">
        <v>1314</v>
      </c>
      <c r="D669" s="202">
        <v>0.65</v>
      </c>
      <c r="E669" s="201" t="s">
        <v>1722</v>
      </c>
      <c r="F669" s="200"/>
      <c r="G669" s="200" t="s">
        <v>1721</v>
      </c>
      <c r="H669" s="199">
        <v>40436</v>
      </c>
      <c r="I669" s="197" t="str">
        <f>B669&amp;" "&amp;" - "&amp;F669&amp;G669</f>
        <v>Breaker, Pavement, Hand-Held  - 25-90 lb</v>
      </c>
    </row>
    <row r="670" spans="1:9">
      <c r="A670" s="205">
        <v>8420</v>
      </c>
      <c r="B670" s="201" t="s">
        <v>1720</v>
      </c>
      <c r="C670" s="200" t="s">
        <v>1314</v>
      </c>
      <c r="D670" s="202">
        <v>31.25</v>
      </c>
      <c r="E670" s="201"/>
      <c r="F670" s="200" t="s">
        <v>1558</v>
      </c>
      <c r="G670" s="200"/>
      <c r="H670" s="199">
        <v>40436</v>
      </c>
      <c r="I670" s="197" t="str">
        <f>B670&amp;" "&amp;F670&amp;" HP"&amp;"/"&amp;G670</f>
        <v>Breaker, Pavement to 70 HP/</v>
      </c>
    </row>
    <row r="671" spans="1:9">
      <c r="A671" s="205">
        <v>8150</v>
      </c>
      <c r="B671" s="201" t="s">
        <v>1719</v>
      </c>
      <c r="C671" s="200" t="s">
        <v>1314</v>
      </c>
      <c r="D671" s="202">
        <v>12.3</v>
      </c>
      <c r="E671" s="201" t="s">
        <v>1718</v>
      </c>
      <c r="F671" s="200" t="s">
        <v>1507</v>
      </c>
      <c r="G671" s="200" t="s">
        <v>1714</v>
      </c>
      <c r="H671" s="199">
        <v>40436</v>
      </c>
      <c r="I671" s="197" t="str">
        <f>B671&amp;" "&amp;F671&amp;" HP"&amp;"/"&amp;G671</f>
        <v>Broom, Pavement to 35 HP/72 in</v>
      </c>
    </row>
    <row r="672" spans="1:9">
      <c r="A672" s="205">
        <v>8151</v>
      </c>
      <c r="B672" s="201" t="s">
        <v>1719</v>
      </c>
      <c r="C672" s="200" t="s">
        <v>1314</v>
      </c>
      <c r="D672" s="202">
        <v>19.75</v>
      </c>
      <c r="E672" s="201" t="s">
        <v>1718</v>
      </c>
      <c r="F672" s="200" t="s">
        <v>1502</v>
      </c>
      <c r="G672" s="200" t="s">
        <v>1717</v>
      </c>
      <c r="H672" s="199">
        <v>40436</v>
      </c>
      <c r="I672" s="197" t="str">
        <f>B672&amp;" "&amp;F672&amp;" HP"&amp;"/"&amp;G672</f>
        <v>Broom, Pavement to 100 HP/96 in</v>
      </c>
    </row>
    <row r="673" spans="1:9" ht="39.6">
      <c r="A673" s="205">
        <v>8153</v>
      </c>
      <c r="B673" s="201" t="s">
        <v>1716</v>
      </c>
      <c r="C673" s="200" t="s">
        <v>1314</v>
      </c>
      <c r="D673" s="202">
        <v>6</v>
      </c>
      <c r="E673" s="201" t="s">
        <v>1712</v>
      </c>
      <c r="F673" s="200" t="s">
        <v>1715</v>
      </c>
      <c r="G673" s="200" t="s">
        <v>1714</v>
      </c>
      <c r="H673" s="199">
        <v>40436</v>
      </c>
      <c r="I673" s="197" t="str">
        <f>B673&amp;" "&amp;F673&amp;" HP"&amp;"/"&amp;G673</f>
        <v>Broom, Pavement, Mntd to 18 HP/72 in</v>
      </c>
    </row>
    <row r="674" spans="1:9" ht="39.6">
      <c r="A674" s="205">
        <v>8154</v>
      </c>
      <c r="B674" s="201" t="s">
        <v>1713</v>
      </c>
      <c r="C674" s="200" t="s">
        <v>1314</v>
      </c>
      <c r="D674" s="202">
        <v>10.25</v>
      </c>
      <c r="E674" s="201" t="s">
        <v>1712</v>
      </c>
      <c r="F674" s="200" t="s">
        <v>1711</v>
      </c>
      <c r="G674" s="200" t="s">
        <v>1710</v>
      </c>
      <c r="H674" s="199">
        <v>40436</v>
      </c>
      <c r="I674" s="197" t="str">
        <f>B674&amp;" "&amp;F674&amp;" HP"&amp;"/"&amp;G674</f>
        <v>Broom, Pavement, Pull to 20 HP/84 in</v>
      </c>
    </row>
    <row r="675" spans="1:9" ht="52.8">
      <c r="A675" s="205">
        <v>8270</v>
      </c>
      <c r="B675" s="201" t="s">
        <v>1709</v>
      </c>
      <c r="C675" s="200" t="s">
        <v>1314</v>
      </c>
      <c r="D675" s="202">
        <v>3.6</v>
      </c>
      <c r="E675" s="201" t="s">
        <v>1708</v>
      </c>
      <c r="F675" s="200"/>
      <c r="G675" s="200" t="s">
        <v>1639</v>
      </c>
      <c r="H675" s="199">
        <v>40436</v>
      </c>
      <c r="I675" s="197" t="str">
        <f t="shared" ref="I675:I682" si="12">B675&amp;" "&amp;" - "&amp;F675&amp;G675</f>
        <v>Bucket, Clamshell  - 1.0 CY</v>
      </c>
    </row>
    <row r="676" spans="1:9" ht="52.8">
      <c r="A676" s="205">
        <v>8271</v>
      </c>
      <c r="B676" s="201" t="s">
        <v>1709</v>
      </c>
      <c r="C676" s="200" t="s">
        <v>1314</v>
      </c>
      <c r="D676" s="202">
        <v>6.75</v>
      </c>
      <c r="E676" s="201" t="s">
        <v>1708</v>
      </c>
      <c r="F676" s="200"/>
      <c r="G676" s="200" t="s">
        <v>1636</v>
      </c>
      <c r="H676" s="199">
        <v>40436</v>
      </c>
      <c r="I676" s="197" t="str">
        <f t="shared" si="12"/>
        <v>Bucket, Clamshell  - 2.5 CY</v>
      </c>
    </row>
    <row r="677" spans="1:9" ht="52.8">
      <c r="A677" s="205">
        <v>8272</v>
      </c>
      <c r="B677" s="201" t="s">
        <v>1709</v>
      </c>
      <c r="C677" s="200" t="s">
        <v>1314</v>
      </c>
      <c r="D677" s="202">
        <v>11.25</v>
      </c>
      <c r="E677" s="201" t="s">
        <v>1708</v>
      </c>
      <c r="F677" s="200"/>
      <c r="G677" s="200" t="s">
        <v>1706</v>
      </c>
      <c r="H677" s="199">
        <v>40436</v>
      </c>
      <c r="I677" s="197" t="str">
        <f t="shared" si="12"/>
        <v>Bucket, Clamshell  - 5.0 CY</v>
      </c>
    </row>
    <row r="678" spans="1:9" ht="52.8">
      <c r="A678" s="205">
        <v>8273</v>
      </c>
      <c r="B678" s="201" t="s">
        <v>1709</v>
      </c>
      <c r="C678" s="200" t="s">
        <v>1314</v>
      </c>
      <c r="D678" s="202">
        <v>14.5</v>
      </c>
      <c r="E678" s="201" t="s">
        <v>1708</v>
      </c>
      <c r="F678" s="200"/>
      <c r="G678" s="200" t="s">
        <v>1633</v>
      </c>
      <c r="H678" s="199">
        <v>40436</v>
      </c>
      <c r="I678" s="197" t="str">
        <f t="shared" si="12"/>
        <v>Bucket, Clamshell  - 7.5 CY</v>
      </c>
    </row>
    <row r="679" spans="1:9" ht="39.6">
      <c r="A679" s="205">
        <v>8275</v>
      </c>
      <c r="B679" s="201" t="s">
        <v>1705</v>
      </c>
      <c r="C679" s="200" t="s">
        <v>1314</v>
      </c>
      <c r="D679" s="202">
        <v>2.9</v>
      </c>
      <c r="E679" s="201" t="s">
        <v>1704</v>
      </c>
      <c r="F679" s="200"/>
      <c r="G679" s="200" t="s">
        <v>1707</v>
      </c>
      <c r="H679" s="199">
        <v>40436</v>
      </c>
      <c r="I679" s="197" t="str">
        <f t="shared" si="12"/>
        <v>Bucket, Dragline  - 2.0 CY</v>
      </c>
    </row>
    <row r="680" spans="1:9" ht="39.6">
      <c r="A680" s="205">
        <v>8276</v>
      </c>
      <c r="B680" s="201" t="s">
        <v>1705</v>
      </c>
      <c r="C680" s="200" t="s">
        <v>1314</v>
      </c>
      <c r="D680" s="202">
        <v>6.5</v>
      </c>
      <c r="E680" s="201" t="s">
        <v>1704</v>
      </c>
      <c r="F680" s="200"/>
      <c r="G680" s="200" t="s">
        <v>1706</v>
      </c>
      <c r="H680" s="199">
        <v>40436</v>
      </c>
      <c r="I680" s="197" t="str">
        <f t="shared" si="12"/>
        <v>Bucket, Dragline  - 5.0 CY</v>
      </c>
    </row>
    <row r="681" spans="1:9" ht="39.6">
      <c r="A681" s="205">
        <v>8277</v>
      </c>
      <c r="B681" s="201" t="s">
        <v>1705</v>
      </c>
      <c r="C681" s="200" t="s">
        <v>1314</v>
      </c>
      <c r="D681" s="202">
        <v>10.5</v>
      </c>
      <c r="E681" s="201" t="s">
        <v>1704</v>
      </c>
      <c r="F681" s="200"/>
      <c r="G681" s="200" t="s">
        <v>1401</v>
      </c>
      <c r="H681" s="199">
        <v>40436</v>
      </c>
      <c r="I681" s="197" t="str">
        <f t="shared" si="12"/>
        <v>Bucket, Dragline  - 10 CY</v>
      </c>
    </row>
    <row r="682" spans="1:9" ht="39.6">
      <c r="A682" s="205">
        <v>8278</v>
      </c>
      <c r="B682" s="201" t="s">
        <v>1705</v>
      </c>
      <c r="C682" s="200" t="s">
        <v>1314</v>
      </c>
      <c r="D682" s="202">
        <v>13.5</v>
      </c>
      <c r="E682" s="201" t="s">
        <v>1704</v>
      </c>
      <c r="F682" s="200"/>
      <c r="G682" s="200" t="s">
        <v>1682</v>
      </c>
      <c r="H682" s="199">
        <v>40436</v>
      </c>
      <c r="I682" s="197" t="str">
        <f t="shared" si="12"/>
        <v>Bucket, Dragline  - 14 CY</v>
      </c>
    </row>
    <row r="683" spans="1:9">
      <c r="A683" s="205">
        <v>8180</v>
      </c>
      <c r="B683" s="201" t="s">
        <v>1702</v>
      </c>
      <c r="C683" s="200" t="s">
        <v>1314</v>
      </c>
      <c r="D683" s="202">
        <v>20</v>
      </c>
      <c r="E683" s="201"/>
      <c r="F683" s="200" t="s">
        <v>1532</v>
      </c>
      <c r="G683" s="200"/>
      <c r="H683" s="199">
        <v>40436</v>
      </c>
      <c r="I683" s="197" t="str">
        <f>B683&amp;" "&amp;F683&amp;" HP"</f>
        <v>Bus to 150 HP</v>
      </c>
    </row>
    <row r="684" spans="1:9">
      <c r="A684" s="205">
        <v>8181</v>
      </c>
      <c r="B684" s="201" t="s">
        <v>1702</v>
      </c>
      <c r="C684" s="200" t="s">
        <v>1314</v>
      </c>
      <c r="D684" s="202">
        <v>23</v>
      </c>
      <c r="E684" s="201"/>
      <c r="F684" s="200" t="s">
        <v>1703</v>
      </c>
      <c r="G684" s="200"/>
      <c r="H684" s="199">
        <v>40436</v>
      </c>
      <c r="I684" s="197" t="str">
        <f>B684&amp;" "&amp;F684&amp;" HP"</f>
        <v>Bus to 210 HP</v>
      </c>
    </row>
    <row r="685" spans="1:9">
      <c r="A685" s="205">
        <v>8182</v>
      </c>
      <c r="B685" s="201" t="s">
        <v>1702</v>
      </c>
      <c r="C685" s="200" t="s">
        <v>1314</v>
      </c>
      <c r="D685" s="202">
        <v>27</v>
      </c>
      <c r="E685" s="201"/>
      <c r="F685" s="200" t="s">
        <v>1379</v>
      </c>
      <c r="G685" s="200"/>
      <c r="H685" s="199">
        <v>40436</v>
      </c>
      <c r="I685" s="197" t="str">
        <f>B685&amp;" "&amp;F685&amp;" HP"</f>
        <v>Bus to 300 HP</v>
      </c>
    </row>
    <row r="686" spans="1:9">
      <c r="A686" s="205">
        <v>8190</v>
      </c>
      <c r="B686" s="207" t="s">
        <v>1700</v>
      </c>
      <c r="C686" s="200" t="s">
        <v>1314</v>
      </c>
      <c r="D686" s="202">
        <v>1.75</v>
      </c>
      <c r="E686" s="201" t="s">
        <v>1701</v>
      </c>
      <c r="F686" s="200"/>
      <c r="G686" s="200" t="s">
        <v>1590</v>
      </c>
      <c r="H686" s="199">
        <v>40436</v>
      </c>
      <c r="I686" s="197" t="str">
        <f>B686&amp;" "&amp;" - "&amp;F686&amp;G686</f>
        <v>Chain Saw  - 16 in</v>
      </c>
    </row>
    <row r="687" spans="1:9">
      <c r="A687" s="205">
        <v>8191</v>
      </c>
      <c r="B687" s="207" t="s">
        <v>1700</v>
      </c>
      <c r="C687" s="200" t="s">
        <v>1314</v>
      </c>
      <c r="D687" s="202">
        <v>3.2</v>
      </c>
      <c r="E687" s="201" t="s">
        <v>1699</v>
      </c>
      <c r="F687" s="200"/>
      <c r="G687" s="200" t="s">
        <v>1477</v>
      </c>
      <c r="H687" s="199">
        <v>40436</v>
      </c>
      <c r="I687" s="197" t="str">
        <f>B687&amp;" "&amp;" - "&amp;F687&amp;G687</f>
        <v>Chain Saw  - 25 in</v>
      </c>
    </row>
    <row r="688" spans="1:9">
      <c r="A688" s="205">
        <v>8192</v>
      </c>
      <c r="B688" s="207" t="s">
        <v>1698</v>
      </c>
      <c r="C688" s="200" t="s">
        <v>1314</v>
      </c>
      <c r="D688" s="202">
        <v>1.6</v>
      </c>
      <c r="E688" s="201" t="s">
        <v>1697</v>
      </c>
      <c r="F688" s="200"/>
      <c r="G688" s="200" t="s">
        <v>1692</v>
      </c>
      <c r="H688" s="199">
        <v>40436</v>
      </c>
      <c r="I688" s="197" t="str">
        <f>B688&amp;" "&amp;" - "&amp;F688&amp;G688</f>
        <v>Chain Saw, Pole  - 18 in</v>
      </c>
    </row>
    <row r="689" spans="1:9" ht="26.4">
      <c r="A689" s="205">
        <v>8200</v>
      </c>
      <c r="B689" s="207" t="s">
        <v>1694</v>
      </c>
      <c r="C689" s="200" t="s">
        <v>1314</v>
      </c>
      <c r="D689" s="204">
        <v>7.5</v>
      </c>
      <c r="E689" s="201" t="s">
        <v>1693</v>
      </c>
      <c r="F689" s="200" t="s">
        <v>1507</v>
      </c>
      <c r="G689" s="200" t="s">
        <v>1595</v>
      </c>
      <c r="H689" s="199">
        <v>40436</v>
      </c>
      <c r="I689" s="197" t="str">
        <f t="shared" ref="I689:I695" si="13">B689&amp;" "&amp;F689&amp;" HP"&amp;"/"&amp;G689</f>
        <v>Chipper, Brush to 35 HP/6 in</v>
      </c>
    </row>
    <row r="690" spans="1:9" ht="26.4">
      <c r="A690" s="205">
        <v>8201</v>
      </c>
      <c r="B690" s="207" t="s">
        <v>1694</v>
      </c>
      <c r="C690" s="200" t="s">
        <v>1314</v>
      </c>
      <c r="D690" s="204">
        <v>16</v>
      </c>
      <c r="E690" s="201" t="s">
        <v>1693</v>
      </c>
      <c r="F690" s="200" t="s">
        <v>1503</v>
      </c>
      <c r="G690" s="200" t="s">
        <v>1696</v>
      </c>
      <c r="H690" s="199">
        <v>40436</v>
      </c>
      <c r="I690" s="197" t="str">
        <f t="shared" si="13"/>
        <v>Chipper, Brush to 65 HP/9 in</v>
      </c>
    </row>
    <row r="691" spans="1:9" ht="26.4">
      <c r="A691" s="205">
        <v>8202</v>
      </c>
      <c r="B691" s="207" t="s">
        <v>1694</v>
      </c>
      <c r="C691" s="200" t="s">
        <v>1314</v>
      </c>
      <c r="D691" s="204">
        <v>21.75</v>
      </c>
      <c r="E691" s="201" t="s">
        <v>1693</v>
      </c>
      <c r="F691" s="200" t="s">
        <v>1502</v>
      </c>
      <c r="G691" s="200" t="s">
        <v>1593</v>
      </c>
      <c r="H691" s="199">
        <v>40436</v>
      </c>
      <c r="I691" s="197" t="str">
        <f t="shared" si="13"/>
        <v>Chipper, Brush to 100 HP/12 in</v>
      </c>
    </row>
    <row r="692" spans="1:9" ht="26.4">
      <c r="A692" s="205">
        <v>8203</v>
      </c>
      <c r="B692" s="207" t="s">
        <v>1694</v>
      </c>
      <c r="C692" s="200" t="s">
        <v>1314</v>
      </c>
      <c r="D692" s="202">
        <v>30.75</v>
      </c>
      <c r="E692" s="201" t="s">
        <v>1693</v>
      </c>
      <c r="F692" s="200" t="s">
        <v>1535</v>
      </c>
      <c r="G692" s="200" t="s">
        <v>1695</v>
      </c>
      <c r="H692" s="199">
        <v>40436</v>
      </c>
      <c r="I692" s="197" t="str">
        <f t="shared" si="13"/>
        <v>Chipper, Brush to 125 HP/15 in</v>
      </c>
    </row>
    <row r="693" spans="1:9" ht="26.4">
      <c r="A693" s="205">
        <v>8204</v>
      </c>
      <c r="B693" s="207" t="s">
        <v>1694</v>
      </c>
      <c r="C693" s="200" t="s">
        <v>1314</v>
      </c>
      <c r="D693" s="202">
        <v>45.5</v>
      </c>
      <c r="E693" s="201" t="s">
        <v>1693</v>
      </c>
      <c r="F693" s="200" t="s">
        <v>1383</v>
      </c>
      <c r="G693" s="200" t="s">
        <v>1692</v>
      </c>
      <c r="H693" s="199">
        <v>40436</v>
      </c>
      <c r="I693" s="197" t="str">
        <f t="shared" si="13"/>
        <v>Chipper, Brush to 200 HP/18 in</v>
      </c>
    </row>
    <row r="694" spans="1:9" ht="26.4">
      <c r="A694" s="205">
        <v>8210</v>
      </c>
      <c r="B694" s="207" t="s">
        <v>1689</v>
      </c>
      <c r="C694" s="200" t="s">
        <v>1314</v>
      </c>
      <c r="D694" s="202">
        <v>86</v>
      </c>
      <c r="E694" s="201" t="s">
        <v>1685</v>
      </c>
      <c r="F694" s="200" t="s">
        <v>1691</v>
      </c>
      <c r="G694" s="200" t="s">
        <v>1690</v>
      </c>
      <c r="H694" s="199">
        <v>40436</v>
      </c>
      <c r="I694" s="197" t="str">
        <f t="shared" si="13"/>
        <v>Clamshell &amp; Dragline, Crawler to 235 HP/149,999 lb</v>
      </c>
    </row>
    <row r="695" spans="1:9" ht="26.4">
      <c r="A695" s="205">
        <v>8211</v>
      </c>
      <c r="B695" s="207" t="s">
        <v>1689</v>
      </c>
      <c r="C695" s="200" t="s">
        <v>1314</v>
      </c>
      <c r="D695" s="204">
        <v>121</v>
      </c>
      <c r="E695" s="201" t="s">
        <v>1685</v>
      </c>
      <c r="F695" s="200" t="s">
        <v>1688</v>
      </c>
      <c r="G695" s="200" t="s">
        <v>1687</v>
      </c>
      <c r="H695" s="199">
        <v>40436</v>
      </c>
      <c r="I695" s="197" t="str">
        <f t="shared" si="13"/>
        <v>Clamshell &amp; Dragline, Crawler to 520 HP/250,000 lb</v>
      </c>
    </row>
    <row r="696" spans="1:9" ht="26.4">
      <c r="A696" s="205">
        <v>8212</v>
      </c>
      <c r="B696" s="207" t="s">
        <v>1686</v>
      </c>
      <c r="C696" s="200" t="s">
        <v>1314</v>
      </c>
      <c r="D696" s="204">
        <v>130</v>
      </c>
      <c r="E696" s="201" t="s">
        <v>1685</v>
      </c>
      <c r="F696" s="200" t="s">
        <v>1620</v>
      </c>
      <c r="G696" s="200"/>
      <c r="H696" s="199">
        <v>40436</v>
      </c>
      <c r="I696" s="197" t="str">
        <f>B696&amp;" "&amp;F696&amp;" HP"</f>
        <v>Clamshell &amp; Dragline, Truck to 240 HP</v>
      </c>
    </row>
    <row r="697" spans="1:9" ht="52.8">
      <c r="A697" s="205">
        <v>8712</v>
      </c>
      <c r="B697" s="207" t="s">
        <v>1684</v>
      </c>
      <c r="C697" s="200" t="s">
        <v>1314</v>
      </c>
      <c r="D697" s="204">
        <v>16</v>
      </c>
      <c r="E697" s="201" t="s">
        <v>1683</v>
      </c>
      <c r="F697" s="200"/>
      <c r="G697" s="200" t="s">
        <v>1464</v>
      </c>
      <c r="H697" s="199">
        <v>40436</v>
      </c>
      <c r="I697" s="197" t="str">
        <f>B697&amp;" "&amp;" - "&amp;F697&amp;G697</f>
        <v>Cleaner, Sewer/Catch Basin  - 5 CY</v>
      </c>
    </row>
    <row r="698" spans="1:9" ht="52.8">
      <c r="A698" s="205">
        <v>8713</v>
      </c>
      <c r="B698" s="201" t="s">
        <v>1684</v>
      </c>
      <c r="C698" s="200" t="s">
        <v>1314</v>
      </c>
      <c r="D698" s="202">
        <v>21.5</v>
      </c>
      <c r="E698" s="201" t="s">
        <v>1683</v>
      </c>
      <c r="F698" s="200"/>
      <c r="G698" s="200" t="s">
        <v>1682</v>
      </c>
      <c r="H698" s="199">
        <v>40436</v>
      </c>
      <c r="I698" s="197" t="str">
        <f>B698&amp;" "&amp;" - "&amp;F698&amp;G698</f>
        <v>Cleaner, Sewer/Catch Basin  - 14 CY</v>
      </c>
    </row>
    <row r="699" spans="1:9">
      <c r="A699" s="205">
        <v>8220</v>
      </c>
      <c r="B699" s="207" t="s">
        <v>1681</v>
      </c>
      <c r="C699" s="200" t="s">
        <v>1314</v>
      </c>
      <c r="D699" s="202">
        <v>11</v>
      </c>
      <c r="E699" s="201"/>
      <c r="F699" s="200" t="s">
        <v>1340</v>
      </c>
      <c r="G699" s="200"/>
      <c r="H699" s="199">
        <v>40436</v>
      </c>
      <c r="I699" s="197" t="str">
        <f t="shared" ref="I699:I705" si="14">B699&amp;" "&amp;F699&amp;" HP"</f>
        <v>Compactor to 10 HP</v>
      </c>
    </row>
    <row r="700" spans="1:9">
      <c r="A700" s="205">
        <v>8221</v>
      </c>
      <c r="B700" s="208" t="s">
        <v>1680</v>
      </c>
      <c r="C700" s="200" t="s">
        <v>1314</v>
      </c>
      <c r="D700" s="202">
        <v>17.5</v>
      </c>
      <c r="E700" s="201"/>
      <c r="F700" s="200" t="s">
        <v>1640</v>
      </c>
      <c r="G700" s="200"/>
      <c r="H700" s="199">
        <v>40436</v>
      </c>
      <c r="I700" s="197" t="str">
        <f t="shared" si="14"/>
        <v>Compactor, Towed, Vibratory Drum to 45 HP</v>
      </c>
    </row>
    <row r="701" spans="1:9">
      <c r="A701" s="205">
        <v>8222</v>
      </c>
      <c r="B701" s="207" t="s">
        <v>1679</v>
      </c>
      <c r="C701" s="200" t="s">
        <v>1314</v>
      </c>
      <c r="D701" s="202">
        <v>25</v>
      </c>
      <c r="E701" s="201"/>
      <c r="F701" s="200" t="s">
        <v>1486</v>
      </c>
      <c r="G701" s="200"/>
      <c r="H701" s="199">
        <v>40436</v>
      </c>
      <c r="I701" s="197" t="str">
        <f t="shared" si="14"/>
        <v>Compactor, Vibratory, Drum to 75 HP</v>
      </c>
    </row>
    <row r="702" spans="1:9">
      <c r="A702" s="205">
        <v>8223</v>
      </c>
      <c r="B702" s="207" t="s">
        <v>1678</v>
      </c>
      <c r="C702" s="200" t="s">
        <v>1314</v>
      </c>
      <c r="D702" s="204">
        <v>29</v>
      </c>
      <c r="E702" s="201"/>
      <c r="F702" s="200" t="s">
        <v>1502</v>
      </c>
      <c r="G702" s="200"/>
      <c r="H702" s="199">
        <v>40436</v>
      </c>
      <c r="I702" s="197" t="str">
        <f t="shared" si="14"/>
        <v>Compactor, Pneumatic, Wheel to 100 HP</v>
      </c>
    </row>
    <row r="703" spans="1:9">
      <c r="A703" s="205">
        <v>8225</v>
      </c>
      <c r="B703" s="207" t="s">
        <v>1677</v>
      </c>
      <c r="C703" s="200" t="s">
        <v>1314</v>
      </c>
      <c r="D703" s="202">
        <v>96</v>
      </c>
      <c r="E703" s="201"/>
      <c r="F703" s="200" t="s">
        <v>1379</v>
      </c>
      <c r="G703" s="200"/>
      <c r="H703" s="199">
        <v>40436</v>
      </c>
      <c r="I703" s="197" t="str">
        <f t="shared" si="14"/>
        <v>Compactor, Sanitation to 300 HP</v>
      </c>
    </row>
    <row r="704" spans="1:9">
      <c r="A704" s="205">
        <v>8226</v>
      </c>
      <c r="B704" s="207" t="s">
        <v>1677</v>
      </c>
      <c r="C704" s="200" t="s">
        <v>1314</v>
      </c>
      <c r="D704" s="202">
        <v>163</v>
      </c>
      <c r="E704" s="201"/>
      <c r="F704" s="200" t="s">
        <v>1354</v>
      </c>
      <c r="G704" s="200"/>
      <c r="H704" s="199">
        <v>40436</v>
      </c>
      <c r="I704" s="197" t="str">
        <f t="shared" si="14"/>
        <v>Compactor, Sanitation to 400 HP</v>
      </c>
    </row>
    <row r="705" spans="1:9">
      <c r="A705" s="205">
        <v>8227</v>
      </c>
      <c r="B705" s="207" t="s">
        <v>1677</v>
      </c>
      <c r="C705" s="200" t="s">
        <v>1314</v>
      </c>
      <c r="D705" s="202">
        <v>225</v>
      </c>
      <c r="E705" s="201"/>
      <c r="F705" s="200" t="s">
        <v>1676</v>
      </c>
      <c r="G705" s="200"/>
      <c r="H705" s="199">
        <v>40436</v>
      </c>
      <c r="I705" s="197" t="str">
        <f t="shared" si="14"/>
        <v>Compactor, Sanitation to 535 HP</v>
      </c>
    </row>
    <row r="706" spans="1:9" ht="26.4">
      <c r="A706" s="205">
        <v>8228</v>
      </c>
      <c r="B706" s="207" t="s">
        <v>1675</v>
      </c>
      <c r="C706" s="200" t="s">
        <v>1314</v>
      </c>
      <c r="D706" s="202">
        <v>7.5</v>
      </c>
      <c r="E706" s="201" t="s">
        <v>1672</v>
      </c>
      <c r="F706" s="200"/>
      <c r="G706" s="200" t="s">
        <v>1674</v>
      </c>
      <c r="H706" s="199">
        <v>40436</v>
      </c>
      <c r="I706" s="197" t="str">
        <f>B706&amp;" "&amp;" - "&amp;F706&amp;G706</f>
        <v>Compactor, Towed, Pneumatic, Wheel  - 10000 lb</v>
      </c>
    </row>
    <row r="707" spans="1:9" ht="26.4">
      <c r="A707" s="205">
        <v>8229</v>
      </c>
      <c r="B707" s="207" t="s">
        <v>1673</v>
      </c>
      <c r="C707" s="200" t="s">
        <v>1314</v>
      </c>
      <c r="D707" s="202">
        <v>12.25</v>
      </c>
      <c r="E707" s="201" t="s">
        <v>1672</v>
      </c>
      <c r="F707" s="200"/>
      <c r="G707" s="200" t="s">
        <v>1671</v>
      </c>
      <c r="H707" s="199">
        <v>40436</v>
      </c>
      <c r="I707" s="197" t="str">
        <f>B707&amp;" "&amp;" - "&amp;F707&amp;G707</f>
        <v>Compactor, Towed, Drum Static  - 20000 lb</v>
      </c>
    </row>
    <row r="708" spans="1:9">
      <c r="A708" s="205">
        <v>8500</v>
      </c>
      <c r="B708" s="207" t="s">
        <v>1666</v>
      </c>
      <c r="C708" s="200" t="s">
        <v>1314</v>
      </c>
      <c r="D708" s="204">
        <v>27</v>
      </c>
      <c r="E708" s="201" t="s">
        <v>1665</v>
      </c>
      <c r="F708" s="200" t="s">
        <v>1331</v>
      </c>
      <c r="G708" s="200" t="s">
        <v>1670</v>
      </c>
      <c r="H708" s="199">
        <v>40436</v>
      </c>
      <c r="I708" s="197" t="str">
        <f>B708&amp;" "&amp;F708&amp;" HP"&amp;"/"&amp;G708</f>
        <v>Crane to 80 HP/8 MT</v>
      </c>
    </row>
    <row r="709" spans="1:9">
      <c r="A709" s="205">
        <v>8501</v>
      </c>
      <c r="B709" s="201" t="s">
        <v>1666</v>
      </c>
      <c r="C709" s="200" t="s">
        <v>1314</v>
      </c>
      <c r="D709" s="202">
        <v>55</v>
      </c>
      <c r="E709" s="201" t="s">
        <v>1665</v>
      </c>
      <c r="F709" s="200" t="s">
        <v>1532</v>
      </c>
      <c r="G709" s="200" t="s">
        <v>1669</v>
      </c>
      <c r="H709" s="199">
        <v>40436</v>
      </c>
      <c r="I709" s="197" t="str">
        <f>B709&amp;" "&amp;F709&amp;" HP"&amp;"/"&amp;G709</f>
        <v>Crane to 150 HP/15 MT</v>
      </c>
    </row>
    <row r="710" spans="1:9">
      <c r="A710" s="205">
        <v>8502</v>
      </c>
      <c r="B710" s="201" t="s">
        <v>1666</v>
      </c>
      <c r="C710" s="200" t="s">
        <v>1314</v>
      </c>
      <c r="D710" s="202">
        <v>95</v>
      </c>
      <c r="E710" s="201" t="s">
        <v>1665</v>
      </c>
      <c r="F710" s="200" t="s">
        <v>1383</v>
      </c>
      <c r="G710" s="200" t="s">
        <v>1668</v>
      </c>
      <c r="H710" s="199">
        <v>40436</v>
      </c>
      <c r="I710" s="197" t="str">
        <f>B710&amp;" "&amp;F710&amp;" HP"&amp;"/"&amp;G710</f>
        <v>Crane to 200 HP/50 MT</v>
      </c>
    </row>
    <row r="711" spans="1:9">
      <c r="A711" s="205">
        <v>8503</v>
      </c>
      <c r="B711" s="201" t="s">
        <v>1666</v>
      </c>
      <c r="C711" s="200" t="s">
        <v>1314</v>
      </c>
      <c r="D711" s="202">
        <v>155</v>
      </c>
      <c r="E711" s="201" t="s">
        <v>1665</v>
      </c>
      <c r="F711" s="200" t="s">
        <v>1379</v>
      </c>
      <c r="G711" s="200" t="s">
        <v>1667</v>
      </c>
      <c r="H711" s="199">
        <v>40436</v>
      </c>
      <c r="I711" s="197" t="str">
        <f>B711&amp;" "&amp;F711&amp;" HP"&amp;"/"&amp;G711</f>
        <v>Crane to 300 HP/70 MT</v>
      </c>
    </row>
    <row r="712" spans="1:9">
      <c r="A712" s="205">
        <v>8504</v>
      </c>
      <c r="B712" s="201" t="s">
        <v>1666</v>
      </c>
      <c r="C712" s="200" t="s">
        <v>1314</v>
      </c>
      <c r="D712" s="202">
        <v>220</v>
      </c>
      <c r="E712" s="201" t="s">
        <v>1665</v>
      </c>
      <c r="F712" s="200" t="s">
        <v>1515</v>
      </c>
      <c r="G712" s="200" t="s">
        <v>1664</v>
      </c>
      <c r="H712" s="199">
        <v>40436</v>
      </c>
      <c r="I712" s="197" t="str">
        <f>B712&amp;" "&amp;F712&amp;" HP"&amp;"/"&amp;G712</f>
        <v>Crane to 350 HP/110 MT</v>
      </c>
    </row>
    <row r="713" spans="1:9" ht="39.6">
      <c r="A713" s="205">
        <v>8496</v>
      </c>
      <c r="B713" s="206" t="s">
        <v>1661</v>
      </c>
      <c r="C713" s="200" t="s">
        <v>1314</v>
      </c>
      <c r="D713" s="202">
        <v>10</v>
      </c>
      <c r="E713" s="201" t="s">
        <v>1660</v>
      </c>
      <c r="F713" s="200"/>
      <c r="G713" s="200" t="s">
        <v>1663</v>
      </c>
      <c r="H713" s="199">
        <v>40436</v>
      </c>
      <c r="I713" s="197" t="str">
        <f>B713&amp;" "&amp;" - "&amp;F713&amp;G713</f>
        <v>Crane, Truck Mntd  - 24000 lb</v>
      </c>
    </row>
    <row r="714" spans="1:9" ht="39.6">
      <c r="A714" s="205">
        <v>8497</v>
      </c>
      <c r="B714" s="201" t="s">
        <v>1661</v>
      </c>
      <c r="C714" s="200" t="s">
        <v>1314</v>
      </c>
      <c r="D714" s="202">
        <v>16</v>
      </c>
      <c r="E714" s="201" t="s">
        <v>1660</v>
      </c>
      <c r="F714" s="200"/>
      <c r="G714" s="200" t="s">
        <v>1662</v>
      </c>
      <c r="H714" s="199">
        <v>40436</v>
      </c>
      <c r="I714" s="197" t="str">
        <f>B714&amp;" "&amp;" - "&amp;F714&amp;G714</f>
        <v>Crane, Truck Mntd  - 36000 lb</v>
      </c>
    </row>
    <row r="715" spans="1:9" ht="39.6">
      <c r="A715" s="205">
        <v>8498</v>
      </c>
      <c r="B715" s="201" t="s">
        <v>1661</v>
      </c>
      <c r="C715" s="200" t="s">
        <v>1314</v>
      </c>
      <c r="D715" s="202">
        <v>30</v>
      </c>
      <c r="E715" s="201" t="s">
        <v>1660</v>
      </c>
      <c r="F715" s="200"/>
      <c r="G715" s="200" t="s">
        <v>1659</v>
      </c>
      <c r="H715" s="199">
        <v>40436</v>
      </c>
      <c r="I715" s="197" t="str">
        <f>B715&amp;" "&amp;" - "&amp;F715&amp;G715</f>
        <v>Crane, Truck Mntd  - 60000 lb</v>
      </c>
    </row>
    <row r="716" spans="1:9">
      <c r="A716" s="205">
        <v>8195</v>
      </c>
      <c r="B716" s="201" t="s">
        <v>1657</v>
      </c>
      <c r="C716" s="200" t="s">
        <v>1314</v>
      </c>
      <c r="D716" s="202">
        <v>90</v>
      </c>
      <c r="E716" s="201" t="s">
        <v>1656</v>
      </c>
      <c r="F716" s="200" t="s">
        <v>1532</v>
      </c>
      <c r="G716" s="200" t="s">
        <v>1454</v>
      </c>
      <c r="H716" s="199">
        <v>40436</v>
      </c>
      <c r="I716" s="197" t="str">
        <f>B716&amp;" "&amp;F716&amp;" HP"&amp;"/"&amp;G716</f>
        <v>Cutter, Brush to 150 HP/8 ft</v>
      </c>
    </row>
    <row r="717" spans="1:9">
      <c r="A717" s="205">
        <v>8196</v>
      </c>
      <c r="B717" s="201" t="s">
        <v>1657</v>
      </c>
      <c r="C717" s="200" t="s">
        <v>1314</v>
      </c>
      <c r="D717" s="202">
        <v>100</v>
      </c>
      <c r="E717" s="201" t="s">
        <v>1656</v>
      </c>
      <c r="F717" s="200" t="s">
        <v>1658</v>
      </c>
      <c r="G717" s="200" t="s">
        <v>1454</v>
      </c>
      <c r="H717" s="199">
        <v>40436</v>
      </c>
      <c r="I717" s="197" t="str">
        <f>B717&amp;" "&amp;F717&amp;" HP"&amp;"/"&amp;G717</f>
        <v>Cutter, Brush to 190 HP/8 ft</v>
      </c>
    </row>
    <row r="718" spans="1:9">
      <c r="A718" s="205">
        <v>8197</v>
      </c>
      <c r="B718" s="201" t="s">
        <v>1657</v>
      </c>
      <c r="C718" s="200" t="s">
        <v>1314</v>
      </c>
      <c r="D718" s="202">
        <v>120</v>
      </c>
      <c r="E718" s="201" t="s">
        <v>1656</v>
      </c>
      <c r="F718" s="200" t="s">
        <v>1655</v>
      </c>
      <c r="G718" s="200" t="s">
        <v>1604</v>
      </c>
      <c r="H718" s="199">
        <v>40436</v>
      </c>
      <c r="I718" s="197" t="str">
        <f>B718&amp;" "&amp;F718&amp;" HP"&amp;"/"&amp;G718</f>
        <v>Cutter, Brush to 245 HP/10 ft</v>
      </c>
    </row>
    <row r="719" spans="1:9" ht="66">
      <c r="A719" s="205">
        <v>8670</v>
      </c>
      <c r="B719" s="201" t="s">
        <v>1653</v>
      </c>
      <c r="C719" s="200" t="s">
        <v>1314</v>
      </c>
      <c r="D719" s="202">
        <v>21</v>
      </c>
      <c r="E719" s="201" t="s">
        <v>1652</v>
      </c>
      <c r="F719" s="200"/>
      <c r="G719" s="200" t="s">
        <v>1654</v>
      </c>
      <c r="H719" s="199">
        <v>40436</v>
      </c>
      <c r="I719" s="197" t="str">
        <f>B719&amp;" "&amp;" - "&amp;F719&amp;G719</f>
        <v>Derrick, Hydraulic Digger  - 60 ft</v>
      </c>
    </row>
    <row r="720" spans="1:9" ht="66">
      <c r="A720" s="205">
        <v>8671</v>
      </c>
      <c r="B720" s="201" t="s">
        <v>1653</v>
      </c>
      <c r="C720" s="200" t="s">
        <v>1314</v>
      </c>
      <c r="D720" s="202">
        <v>39</v>
      </c>
      <c r="E720" s="201" t="s">
        <v>1652</v>
      </c>
      <c r="F720" s="200"/>
      <c r="G720" s="200" t="s">
        <v>1651</v>
      </c>
      <c r="H720" s="199">
        <v>40436</v>
      </c>
      <c r="I720" s="197" t="str">
        <f>B720&amp;" "&amp;" - "&amp;F720&amp;G720</f>
        <v>Derrick, Hydraulic Digger  - 90 ft</v>
      </c>
    </row>
    <row r="721" spans="1:9" ht="79.2">
      <c r="A721" s="205">
        <v>8580</v>
      </c>
      <c r="B721" s="201" t="s">
        <v>1647</v>
      </c>
      <c r="C721" s="200" t="s">
        <v>1314</v>
      </c>
      <c r="D721" s="202">
        <v>12</v>
      </c>
      <c r="E721" s="201" t="s">
        <v>1650</v>
      </c>
      <c r="F721" s="200"/>
      <c r="G721" s="200" t="s">
        <v>1649</v>
      </c>
      <c r="H721" s="199">
        <v>40436</v>
      </c>
      <c r="I721" s="197" t="str">
        <f>B721&amp;" "&amp;" - "&amp;F721&amp;G721</f>
        <v>Distributor, Asphalt  - 500 gal</v>
      </c>
    </row>
    <row r="722" spans="1:9" ht="92.4">
      <c r="A722" s="205">
        <v>8581</v>
      </c>
      <c r="B722" s="201" t="s">
        <v>1647</v>
      </c>
      <c r="C722" s="200" t="s">
        <v>1314</v>
      </c>
      <c r="D722" s="202">
        <v>13</v>
      </c>
      <c r="E722" s="201" t="s">
        <v>1646</v>
      </c>
      <c r="F722" s="200"/>
      <c r="G722" s="200" t="s">
        <v>1648</v>
      </c>
      <c r="H722" s="199">
        <v>40436</v>
      </c>
      <c r="I722" s="197" t="str">
        <f>B722&amp;" "&amp;" - "&amp;F722&amp;G722</f>
        <v>Distributor, Asphalt  - 1000 gal</v>
      </c>
    </row>
    <row r="723" spans="1:9" ht="92.4">
      <c r="A723" s="205">
        <v>8582</v>
      </c>
      <c r="B723" s="201" t="s">
        <v>1647</v>
      </c>
      <c r="C723" s="200" t="s">
        <v>1314</v>
      </c>
      <c r="D723" s="202">
        <v>25</v>
      </c>
      <c r="E723" s="201" t="s">
        <v>1646</v>
      </c>
      <c r="F723" s="200"/>
      <c r="G723" s="200" t="s">
        <v>1347</v>
      </c>
      <c r="H723" s="199">
        <v>40436</v>
      </c>
      <c r="I723" s="197" t="str">
        <f>B723&amp;" "&amp;" - "&amp;F723&amp;G723</f>
        <v>Distributor, Asphalt  - 4000 gal</v>
      </c>
    </row>
    <row r="724" spans="1:9">
      <c r="A724" s="205">
        <v>8250</v>
      </c>
      <c r="B724" s="201" t="s">
        <v>1644</v>
      </c>
      <c r="C724" s="200" t="s">
        <v>1314</v>
      </c>
      <c r="D724" s="202">
        <v>31</v>
      </c>
      <c r="E724" s="201"/>
      <c r="F724" s="200" t="s">
        <v>1486</v>
      </c>
      <c r="G724" s="200"/>
      <c r="H724" s="199">
        <v>40436</v>
      </c>
      <c r="I724" s="197" t="str">
        <f t="shared" ref="I724:I734" si="15">B724&amp;" "&amp;F724&amp;" HP"</f>
        <v>Dozer, Crawler to 75 HP</v>
      </c>
    </row>
    <row r="725" spans="1:9">
      <c r="A725" s="205">
        <v>8251</v>
      </c>
      <c r="B725" s="201" t="s">
        <v>1644</v>
      </c>
      <c r="C725" s="200" t="s">
        <v>1314</v>
      </c>
      <c r="D725" s="202">
        <v>40</v>
      </c>
      <c r="E725" s="201"/>
      <c r="F725" s="200" t="s">
        <v>1570</v>
      </c>
      <c r="G725" s="200"/>
      <c r="H725" s="199">
        <v>40436</v>
      </c>
      <c r="I725" s="197" t="str">
        <f t="shared" si="15"/>
        <v>Dozer, Crawler to 105 HP</v>
      </c>
    </row>
    <row r="726" spans="1:9">
      <c r="A726" s="205">
        <v>8252</v>
      </c>
      <c r="B726" s="201" t="s">
        <v>1644</v>
      </c>
      <c r="C726" s="200" t="s">
        <v>1314</v>
      </c>
      <c r="D726" s="202">
        <v>65</v>
      </c>
      <c r="E726" s="201"/>
      <c r="F726" s="200" t="s">
        <v>1638</v>
      </c>
      <c r="G726" s="200"/>
      <c r="H726" s="199">
        <v>40436</v>
      </c>
      <c r="I726" s="197" t="str">
        <f t="shared" si="15"/>
        <v>Dozer, Crawler to 160 HP</v>
      </c>
    </row>
    <row r="727" spans="1:9">
      <c r="A727" s="205">
        <v>8253</v>
      </c>
      <c r="B727" s="201" t="s">
        <v>1644</v>
      </c>
      <c r="C727" s="200" t="s">
        <v>1314</v>
      </c>
      <c r="D727" s="202">
        <v>80</v>
      </c>
      <c r="E727" s="201"/>
      <c r="F727" s="200" t="s">
        <v>1348</v>
      </c>
      <c r="G727" s="200"/>
      <c r="H727" s="199">
        <v>40436</v>
      </c>
      <c r="I727" s="197" t="str">
        <f t="shared" si="15"/>
        <v>Dozer, Crawler to 250 HP</v>
      </c>
    </row>
    <row r="728" spans="1:9">
      <c r="A728" s="205">
        <v>8254</v>
      </c>
      <c r="B728" s="201" t="s">
        <v>1644</v>
      </c>
      <c r="C728" s="200" t="s">
        <v>1314</v>
      </c>
      <c r="D728" s="202">
        <v>135</v>
      </c>
      <c r="E728" s="201"/>
      <c r="F728" s="200" t="s">
        <v>1564</v>
      </c>
      <c r="G728" s="200"/>
      <c r="H728" s="199">
        <v>40436</v>
      </c>
      <c r="I728" s="197" t="str">
        <f t="shared" si="15"/>
        <v>Dozer, Crawler to 360 HP</v>
      </c>
    </row>
    <row r="729" spans="1:9">
      <c r="A729" s="205">
        <v>8255</v>
      </c>
      <c r="B729" s="201" t="s">
        <v>1644</v>
      </c>
      <c r="C729" s="200" t="s">
        <v>1314</v>
      </c>
      <c r="D729" s="202">
        <v>250</v>
      </c>
      <c r="E729" s="201"/>
      <c r="F729" s="200" t="s">
        <v>1645</v>
      </c>
      <c r="G729" s="200"/>
      <c r="H729" s="199">
        <v>40436</v>
      </c>
      <c r="I729" s="197" t="str">
        <f t="shared" si="15"/>
        <v>Dozer, Crawler to 565 HP</v>
      </c>
    </row>
    <row r="730" spans="1:9">
      <c r="A730" s="205">
        <v>8256</v>
      </c>
      <c r="B730" s="201" t="s">
        <v>1644</v>
      </c>
      <c r="C730" s="200" t="s">
        <v>1314</v>
      </c>
      <c r="D730" s="202">
        <v>340</v>
      </c>
      <c r="E730" s="201"/>
      <c r="F730" s="200" t="s">
        <v>1643</v>
      </c>
      <c r="G730" s="200"/>
      <c r="H730" s="199">
        <v>40436</v>
      </c>
      <c r="I730" s="197" t="str">
        <f t="shared" si="15"/>
        <v>Dozer, Crawler to 850 HP</v>
      </c>
    </row>
    <row r="731" spans="1:9">
      <c r="A731" s="205">
        <v>8260</v>
      </c>
      <c r="B731" s="201" t="s">
        <v>1642</v>
      </c>
      <c r="C731" s="200" t="s">
        <v>1314</v>
      </c>
      <c r="D731" s="202">
        <v>55</v>
      </c>
      <c r="E731" s="201"/>
      <c r="F731" s="200" t="s">
        <v>1379</v>
      </c>
      <c r="G731" s="200"/>
      <c r="H731" s="199">
        <v>40436</v>
      </c>
      <c r="I731" s="197" t="str">
        <f t="shared" si="15"/>
        <v>Dozer, Wheel to 300 HP</v>
      </c>
    </row>
    <row r="732" spans="1:9">
      <c r="A732" s="205">
        <v>8261</v>
      </c>
      <c r="B732" s="201" t="s">
        <v>1642</v>
      </c>
      <c r="C732" s="200" t="s">
        <v>1314</v>
      </c>
      <c r="D732" s="202">
        <v>110</v>
      </c>
      <c r="E732" s="201"/>
      <c r="F732" s="200" t="s">
        <v>1354</v>
      </c>
      <c r="G732" s="200"/>
      <c r="H732" s="199">
        <v>40436</v>
      </c>
      <c r="I732" s="197" t="str">
        <f t="shared" si="15"/>
        <v>Dozer, Wheel to 400 HP</v>
      </c>
    </row>
    <row r="733" spans="1:9">
      <c r="A733" s="205">
        <v>8262</v>
      </c>
      <c r="B733" s="201" t="s">
        <v>1642</v>
      </c>
      <c r="C733" s="200" t="s">
        <v>1314</v>
      </c>
      <c r="D733" s="202">
        <v>150</v>
      </c>
      <c r="E733" s="201"/>
      <c r="F733" s="200" t="s">
        <v>1491</v>
      </c>
      <c r="G733" s="200"/>
      <c r="H733" s="199">
        <v>40436</v>
      </c>
      <c r="I733" s="197" t="str">
        <f t="shared" si="15"/>
        <v>Dozer, Wheel to 500 HP</v>
      </c>
    </row>
    <row r="734" spans="1:9">
      <c r="A734" s="205">
        <v>8263</v>
      </c>
      <c r="B734" s="201" t="s">
        <v>1642</v>
      </c>
      <c r="C734" s="200" t="s">
        <v>1314</v>
      </c>
      <c r="D734" s="202">
        <v>200</v>
      </c>
      <c r="E734" s="201"/>
      <c r="F734" s="200" t="s">
        <v>1641</v>
      </c>
      <c r="G734" s="200"/>
      <c r="H734" s="199">
        <v>40436</v>
      </c>
      <c r="I734" s="197" t="str">
        <f t="shared" si="15"/>
        <v>Dozer, Wheel to 625 HP</v>
      </c>
    </row>
    <row r="735" spans="1:9" ht="52.8">
      <c r="A735" s="205">
        <v>8280</v>
      </c>
      <c r="B735" s="201" t="s">
        <v>1632</v>
      </c>
      <c r="C735" s="200" t="s">
        <v>1314</v>
      </c>
      <c r="D735" s="202">
        <v>18</v>
      </c>
      <c r="E735" s="201" t="s">
        <v>1631</v>
      </c>
      <c r="F735" s="200" t="s">
        <v>1640</v>
      </c>
      <c r="G735" s="200" t="s">
        <v>1559</v>
      </c>
      <c r="H735" s="199">
        <v>40436</v>
      </c>
      <c r="I735" s="197" t="str">
        <f t="shared" ref="I735:I741" si="16">B735&amp;" "&amp;F735&amp;" HP"&amp;"/"&amp;G735</f>
        <v>Excavator, Hydraulic to 45 HP/0.5 CY</v>
      </c>
    </row>
    <row r="736" spans="1:9" ht="52.8">
      <c r="A736" s="205">
        <v>8281</v>
      </c>
      <c r="B736" s="201" t="s">
        <v>1632</v>
      </c>
      <c r="C736" s="200" t="s">
        <v>1314</v>
      </c>
      <c r="D736" s="202">
        <v>39</v>
      </c>
      <c r="E736" s="201" t="s">
        <v>1631</v>
      </c>
      <c r="F736" s="200" t="s">
        <v>1628</v>
      </c>
      <c r="G736" s="200" t="s">
        <v>1639</v>
      </c>
      <c r="H736" s="199">
        <v>40436</v>
      </c>
      <c r="I736" s="197" t="str">
        <f t="shared" si="16"/>
        <v>Excavator, Hydraulic to 90 HP/1.0 CY</v>
      </c>
    </row>
    <row r="737" spans="1:9" ht="52.8">
      <c r="A737" s="205">
        <v>8282</v>
      </c>
      <c r="B737" s="201" t="s">
        <v>1632</v>
      </c>
      <c r="C737" s="200" t="s">
        <v>1314</v>
      </c>
      <c r="D737" s="202">
        <v>65</v>
      </c>
      <c r="E737" s="201" t="s">
        <v>1631</v>
      </c>
      <c r="F737" s="200" t="s">
        <v>1638</v>
      </c>
      <c r="G737" s="200" t="s">
        <v>1556</v>
      </c>
      <c r="H737" s="199">
        <v>40436</v>
      </c>
      <c r="I737" s="197" t="str">
        <f t="shared" si="16"/>
        <v>Excavator, Hydraulic to 160 HP/1.5 CY</v>
      </c>
    </row>
    <row r="738" spans="1:9" ht="52.8">
      <c r="A738" s="205">
        <v>8283</v>
      </c>
      <c r="B738" s="201" t="s">
        <v>1632</v>
      </c>
      <c r="C738" s="200" t="s">
        <v>1314</v>
      </c>
      <c r="D738" s="202">
        <v>120</v>
      </c>
      <c r="E738" s="201" t="s">
        <v>1631</v>
      </c>
      <c r="F738" s="200" t="s">
        <v>1637</v>
      </c>
      <c r="G738" s="200" t="s">
        <v>1636</v>
      </c>
      <c r="H738" s="199">
        <v>40436</v>
      </c>
      <c r="I738" s="197" t="str">
        <f t="shared" si="16"/>
        <v>Excavator, Hydraulic to 265 HP/2.5 CY</v>
      </c>
    </row>
    <row r="739" spans="1:9" ht="52.8">
      <c r="A739" s="205">
        <v>8284</v>
      </c>
      <c r="B739" s="201" t="s">
        <v>1632</v>
      </c>
      <c r="C739" s="200" t="s">
        <v>1314</v>
      </c>
      <c r="D739" s="204">
        <v>200</v>
      </c>
      <c r="E739" s="201" t="s">
        <v>1631</v>
      </c>
      <c r="F739" s="200" t="s">
        <v>1635</v>
      </c>
      <c r="G739" s="200" t="s">
        <v>1634</v>
      </c>
      <c r="H739" s="199">
        <v>40436</v>
      </c>
      <c r="I739" s="197" t="str">
        <f t="shared" si="16"/>
        <v>Excavator, Hydraulic to 420 HP/4.5 CY</v>
      </c>
    </row>
    <row r="740" spans="1:9" ht="52.8">
      <c r="A740" s="205">
        <v>8285</v>
      </c>
      <c r="B740" s="201" t="s">
        <v>1632</v>
      </c>
      <c r="C740" s="200" t="s">
        <v>1314</v>
      </c>
      <c r="D740" s="202">
        <v>240</v>
      </c>
      <c r="E740" s="201" t="s">
        <v>1631</v>
      </c>
      <c r="F740" s="200" t="s">
        <v>1510</v>
      </c>
      <c r="G740" s="200" t="s">
        <v>1633</v>
      </c>
      <c r="H740" s="199">
        <v>40436</v>
      </c>
      <c r="I740" s="197" t="str">
        <f t="shared" si="16"/>
        <v>Excavator, Hydraulic to 650 HP/7.5 CY</v>
      </c>
    </row>
    <row r="741" spans="1:9" ht="52.8">
      <c r="A741" s="205">
        <v>8286</v>
      </c>
      <c r="B741" s="201" t="s">
        <v>1632</v>
      </c>
      <c r="C741" s="200" t="s">
        <v>1314</v>
      </c>
      <c r="D741" s="202">
        <v>400</v>
      </c>
      <c r="E741" s="201" t="s">
        <v>1631</v>
      </c>
      <c r="F741" s="200" t="s">
        <v>1342</v>
      </c>
      <c r="G741" s="200" t="s">
        <v>1400</v>
      </c>
      <c r="H741" s="199">
        <v>40436</v>
      </c>
      <c r="I741" s="197" t="str">
        <f t="shared" si="16"/>
        <v>Excavator, Hydraulic to 1000 HP/12 CY</v>
      </c>
    </row>
    <row r="742" spans="1:9">
      <c r="A742" s="205">
        <v>8240</v>
      </c>
      <c r="B742" s="201" t="s">
        <v>1630</v>
      </c>
      <c r="C742" s="200" t="s">
        <v>1314</v>
      </c>
      <c r="D742" s="202">
        <v>17</v>
      </c>
      <c r="E742" s="201"/>
      <c r="F742" s="200" t="s">
        <v>1507</v>
      </c>
      <c r="G742" s="200"/>
      <c r="H742" s="199">
        <v>40436</v>
      </c>
      <c r="I742" s="197" t="str">
        <f>B742&amp;" "&amp;F742&amp;" HP"</f>
        <v>Feeder, Grizzly to 35 HP</v>
      </c>
    </row>
    <row r="743" spans="1:9">
      <c r="A743" s="205">
        <v>8241</v>
      </c>
      <c r="B743" s="201" t="s">
        <v>1630</v>
      </c>
      <c r="C743" s="200" t="s">
        <v>1314</v>
      </c>
      <c r="D743" s="202">
        <v>30</v>
      </c>
      <c r="E743" s="201"/>
      <c r="F743" s="200" t="s">
        <v>1543</v>
      </c>
      <c r="G743" s="200"/>
      <c r="H743" s="199">
        <v>40436</v>
      </c>
      <c r="I743" s="197" t="str">
        <f>B743&amp;" "&amp;F743&amp;" HP"</f>
        <v>Feeder, Grizzly to 55 HP</v>
      </c>
    </row>
    <row r="744" spans="1:9">
      <c r="A744" s="205">
        <v>8242</v>
      </c>
      <c r="B744" s="201" t="s">
        <v>1630</v>
      </c>
      <c r="C744" s="200" t="s">
        <v>1314</v>
      </c>
      <c r="D744" s="202">
        <v>44</v>
      </c>
      <c r="E744" s="201"/>
      <c r="F744" s="200" t="s">
        <v>1486</v>
      </c>
      <c r="G744" s="200"/>
      <c r="H744" s="199">
        <v>40436</v>
      </c>
      <c r="I744" s="197" t="str">
        <f>B744&amp;" "&amp;F744&amp;" HP"</f>
        <v>Feeder, Grizzly to 75 HP</v>
      </c>
    </row>
    <row r="745" spans="1:9">
      <c r="A745" s="205">
        <v>8300</v>
      </c>
      <c r="B745" s="201" t="s">
        <v>1625</v>
      </c>
      <c r="C745" s="200" t="s">
        <v>1314</v>
      </c>
      <c r="D745" s="202">
        <v>11.75</v>
      </c>
      <c r="E745" s="201" t="s">
        <v>1372</v>
      </c>
      <c r="F745" s="200" t="s">
        <v>1446</v>
      </c>
      <c r="G745" s="200" t="s">
        <v>1629</v>
      </c>
      <c r="H745" s="199">
        <v>40436</v>
      </c>
      <c r="I745" s="197" t="str">
        <f t="shared" ref="I745:I760" si="17">B745&amp;" "&amp;F745&amp;" HP"&amp;"/"&amp;G745</f>
        <v>Fork Lift to 60 HP/6000 lb</v>
      </c>
    </row>
    <row r="746" spans="1:9">
      <c r="A746" s="205">
        <v>8301</v>
      </c>
      <c r="B746" s="201" t="s">
        <v>1625</v>
      </c>
      <c r="C746" s="200" t="s">
        <v>1314</v>
      </c>
      <c r="D746" s="202">
        <v>17</v>
      </c>
      <c r="E746" s="201" t="s">
        <v>1372</v>
      </c>
      <c r="F746" s="200" t="s">
        <v>1628</v>
      </c>
      <c r="G746" s="200" t="s">
        <v>1627</v>
      </c>
      <c r="H746" s="199">
        <v>40436</v>
      </c>
      <c r="I746" s="197" t="str">
        <f t="shared" si="17"/>
        <v>Fork Lift to 90 HP/12000 lb</v>
      </c>
    </row>
    <row r="747" spans="1:9">
      <c r="A747" s="205">
        <v>8302</v>
      </c>
      <c r="B747" s="201" t="s">
        <v>1625</v>
      </c>
      <c r="C747" s="200" t="s">
        <v>1314</v>
      </c>
      <c r="D747" s="202">
        <v>23</v>
      </c>
      <c r="E747" s="201" t="s">
        <v>1372</v>
      </c>
      <c r="F747" s="200" t="s">
        <v>1516</v>
      </c>
      <c r="G747" s="200" t="s">
        <v>1626</v>
      </c>
      <c r="H747" s="199">
        <v>40436</v>
      </c>
      <c r="I747" s="197" t="str">
        <f t="shared" si="17"/>
        <v>Fork Lift to 140 HP/18000 lb</v>
      </c>
    </row>
    <row r="748" spans="1:9">
      <c r="A748" s="205">
        <v>8303</v>
      </c>
      <c r="B748" s="201" t="s">
        <v>1625</v>
      </c>
      <c r="C748" s="200" t="s">
        <v>1314</v>
      </c>
      <c r="D748" s="202">
        <v>50</v>
      </c>
      <c r="E748" s="201" t="s">
        <v>1372</v>
      </c>
      <c r="F748" s="200" t="s">
        <v>1459</v>
      </c>
      <c r="G748" s="200" t="s">
        <v>1353</v>
      </c>
      <c r="H748" s="199">
        <v>40436</v>
      </c>
      <c r="I748" s="197" t="str">
        <f t="shared" si="17"/>
        <v>Fork Lift to 215 HP/50000 lb</v>
      </c>
    </row>
    <row r="749" spans="1:9">
      <c r="A749" s="205">
        <v>8310</v>
      </c>
      <c r="B749" s="201" t="s">
        <v>1610</v>
      </c>
      <c r="C749" s="200" t="s">
        <v>1314</v>
      </c>
      <c r="D749" s="202">
        <v>3.25</v>
      </c>
      <c r="E749" s="201" t="s">
        <v>1609</v>
      </c>
      <c r="F749" s="200" t="s">
        <v>1340</v>
      </c>
      <c r="G749" s="200" t="s">
        <v>1624</v>
      </c>
      <c r="H749" s="199">
        <v>40436</v>
      </c>
      <c r="I749" s="197" t="str">
        <f t="shared" si="17"/>
        <v>Generator to 10 HP/5.5 kW</v>
      </c>
    </row>
    <row r="750" spans="1:9">
      <c r="A750" s="205">
        <v>8311</v>
      </c>
      <c r="B750" s="201" t="s">
        <v>1610</v>
      </c>
      <c r="C750" s="200" t="s">
        <v>1314</v>
      </c>
      <c r="D750" s="202">
        <v>8</v>
      </c>
      <c r="E750" s="201" t="s">
        <v>1609</v>
      </c>
      <c r="F750" s="200" t="s">
        <v>1518</v>
      </c>
      <c r="G750" s="200" t="s">
        <v>1623</v>
      </c>
      <c r="H750" s="199">
        <v>40436</v>
      </c>
      <c r="I750" s="197" t="str">
        <f t="shared" si="17"/>
        <v>Generator to 25 HP/16 kW</v>
      </c>
    </row>
    <row r="751" spans="1:9">
      <c r="A751" s="205">
        <v>8312</v>
      </c>
      <c r="B751" s="201" t="s">
        <v>1610</v>
      </c>
      <c r="C751" s="200" t="s">
        <v>1314</v>
      </c>
      <c r="D751" s="202">
        <v>17</v>
      </c>
      <c r="E751" s="201" t="s">
        <v>1609</v>
      </c>
      <c r="F751" s="200" t="s">
        <v>1503</v>
      </c>
      <c r="G751" s="200" t="s">
        <v>1622</v>
      </c>
      <c r="H751" s="199">
        <v>40436</v>
      </c>
      <c r="I751" s="197" t="str">
        <f t="shared" si="17"/>
        <v>Generator to 65 HP/43 kW</v>
      </c>
    </row>
    <row r="752" spans="1:9">
      <c r="A752" s="205">
        <v>8313</v>
      </c>
      <c r="B752" s="201" t="s">
        <v>1610</v>
      </c>
      <c r="C752" s="200" t="s">
        <v>1314</v>
      </c>
      <c r="D752" s="202">
        <v>34</v>
      </c>
      <c r="E752" s="201" t="s">
        <v>1609</v>
      </c>
      <c r="F752" s="200" t="s">
        <v>1535</v>
      </c>
      <c r="G752" s="200" t="s">
        <v>1621</v>
      </c>
      <c r="H752" s="199">
        <v>40436</v>
      </c>
      <c r="I752" s="197" t="str">
        <f t="shared" si="17"/>
        <v>Generator to 125 HP/100 kW</v>
      </c>
    </row>
    <row r="753" spans="1:9">
      <c r="A753" s="205">
        <v>8314</v>
      </c>
      <c r="B753" s="201" t="s">
        <v>1610</v>
      </c>
      <c r="C753" s="200" t="s">
        <v>1314</v>
      </c>
      <c r="D753" s="202">
        <v>50</v>
      </c>
      <c r="E753" s="201" t="s">
        <v>1609</v>
      </c>
      <c r="F753" s="200" t="s">
        <v>1620</v>
      </c>
      <c r="G753" s="200" t="s">
        <v>1619</v>
      </c>
      <c r="H753" s="199">
        <v>40436</v>
      </c>
      <c r="I753" s="197" t="str">
        <f t="shared" si="17"/>
        <v>Generator to 240 HP/150 kW</v>
      </c>
    </row>
    <row r="754" spans="1:9">
      <c r="A754" s="205">
        <v>8315</v>
      </c>
      <c r="B754" s="201" t="s">
        <v>1610</v>
      </c>
      <c r="C754" s="200" t="s">
        <v>1314</v>
      </c>
      <c r="D754" s="202">
        <v>60</v>
      </c>
      <c r="E754" s="201" t="s">
        <v>1609</v>
      </c>
      <c r="F754" s="200" t="s">
        <v>1379</v>
      </c>
      <c r="G754" s="200" t="s">
        <v>1618</v>
      </c>
      <c r="H754" s="199">
        <v>40436</v>
      </c>
      <c r="I754" s="197" t="str">
        <f t="shared" si="17"/>
        <v>Generator to 300 HP/210 kW</v>
      </c>
    </row>
    <row r="755" spans="1:9">
      <c r="A755" s="205">
        <v>8316</v>
      </c>
      <c r="B755" s="201" t="s">
        <v>1610</v>
      </c>
      <c r="C755" s="200" t="s">
        <v>1314</v>
      </c>
      <c r="D755" s="202">
        <v>85</v>
      </c>
      <c r="E755" s="201" t="s">
        <v>1609</v>
      </c>
      <c r="F755" s="200" t="s">
        <v>1354</v>
      </c>
      <c r="G755" s="200" t="s">
        <v>1617</v>
      </c>
      <c r="H755" s="199">
        <v>40436</v>
      </c>
      <c r="I755" s="197" t="str">
        <f t="shared" si="17"/>
        <v>Generator to 400 HP/280 kW</v>
      </c>
    </row>
    <row r="756" spans="1:9">
      <c r="A756" s="205">
        <v>8317</v>
      </c>
      <c r="B756" s="201" t="s">
        <v>1610</v>
      </c>
      <c r="C756" s="200" t="s">
        <v>1314</v>
      </c>
      <c r="D756" s="202">
        <v>95</v>
      </c>
      <c r="E756" s="201" t="s">
        <v>1609</v>
      </c>
      <c r="F756" s="200" t="s">
        <v>1491</v>
      </c>
      <c r="G756" s="200" t="s">
        <v>1616</v>
      </c>
      <c r="H756" s="199">
        <v>40436</v>
      </c>
      <c r="I756" s="197" t="str">
        <f t="shared" si="17"/>
        <v>Generator to 500 HP/350 kW</v>
      </c>
    </row>
    <row r="757" spans="1:9">
      <c r="A757" s="205">
        <v>8318</v>
      </c>
      <c r="B757" s="201" t="s">
        <v>1610</v>
      </c>
      <c r="C757" s="200" t="s">
        <v>1314</v>
      </c>
      <c r="D757" s="202">
        <v>150</v>
      </c>
      <c r="E757" s="201" t="s">
        <v>1609</v>
      </c>
      <c r="F757" s="200" t="s">
        <v>1615</v>
      </c>
      <c r="G757" s="200" t="s">
        <v>1614</v>
      </c>
      <c r="H757" s="199">
        <v>40436</v>
      </c>
      <c r="I757" s="197" t="str">
        <f t="shared" si="17"/>
        <v>Generator to 750 HP/530 kW</v>
      </c>
    </row>
    <row r="758" spans="1:9">
      <c r="A758" s="205">
        <v>8319</v>
      </c>
      <c r="B758" s="201" t="s">
        <v>1610</v>
      </c>
      <c r="C758" s="200" t="s">
        <v>1314</v>
      </c>
      <c r="D758" s="202">
        <v>200</v>
      </c>
      <c r="E758" s="201" t="s">
        <v>1609</v>
      </c>
      <c r="F758" s="200" t="s">
        <v>1342</v>
      </c>
      <c r="G758" s="200" t="s">
        <v>1613</v>
      </c>
      <c r="H758" s="199">
        <v>40436</v>
      </c>
      <c r="I758" s="197" t="str">
        <f t="shared" si="17"/>
        <v>Generator to 1000 HP/710 kW</v>
      </c>
    </row>
    <row r="759" spans="1:9">
      <c r="A759" s="205">
        <v>8320</v>
      </c>
      <c r="B759" s="201" t="s">
        <v>1610</v>
      </c>
      <c r="C759" s="200" t="s">
        <v>1314</v>
      </c>
      <c r="D759" s="202">
        <v>375</v>
      </c>
      <c r="E759" s="201" t="s">
        <v>1609</v>
      </c>
      <c r="F759" s="200" t="s">
        <v>1612</v>
      </c>
      <c r="G759" s="200" t="s">
        <v>1611</v>
      </c>
      <c r="H759" s="199">
        <v>40436</v>
      </c>
      <c r="I759" s="197" t="str">
        <f t="shared" si="17"/>
        <v>Generator to 1500 HP/1100 kW</v>
      </c>
    </row>
    <row r="760" spans="1:9">
      <c r="A760" s="205">
        <v>8321</v>
      </c>
      <c r="B760" s="201" t="s">
        <v>1610</v>
      </c>
      <c r="C760" s="200" t="s">
        <v>1314</v>
      </c>
      <c r="D760" s="202">
        <v>500</v>
      </c>
      <c r="E760" s="201" t="s">
        <v>1609</v>
      </c>
      <c r="F760" s="200" t="s">
        <v>1608</v>
      </c>
      <c r="G760" s="200" t="s">
        <v>1607</v>
      </c>
      <c r="H760" s="199">
        <v>40436</v>
      </c>
      <c r="I760" s="197" t="str">
        <f t="shared" si="17"/>
        <v>Generator to 3000 HP/2500 kW</v>
      </c>
    </row>
    <row r="761" spans="1:9">
      <c r="A761" s="205">
        <v>8755</v>
      </c>
      <c r="B761" s="201" t="s">
        <v>1606</v>
      </c>
      <c r="C761" s="200" t="s">
        <v>1314</v>
      </c>
      <c r="D761" s="202">
        <v>3.2</v>
      </c>
      <c r="E761" s="201" t="s">
        <v>1372</v>
      </c>
      <c r="F761" s="200"/>
      <c r="G761" s="200" t="s">
        <v>1605</v>
      </c>
      <c r="H761" s="199">
        <v>40436</v>
      </c>
      <c r="I761" s="197" t="str">
        <f>B761&amp;" "&amp;" - "&amp;F761&amp;G761</f>
        <v>Golf Cart  - 2 person</v>
      </c>
    </row>
    <row r="762" spans="1:9" ht="52.8">
      <c r="A762" s="205">
        <v>8330</v>
      </c>
      <c r="B762" s="201" t="s">
        <v>1602</v>
      </c>
      <c r="C762" s="200" t="s">
        <v>1314</v>
      </c>
      <c r="D762" s="202">
        <v>34.5</v>
      </c>
      <c r="E762" s="201" t="s">
        <v>1601</v>
      </c>
      <c r="F762" s="200" t="s">
        <v>1436</v>
      </c>
      <c r="G762" s="200" t="s">
        <v>1604</v>
      </c>
      <c r="H762" s="199">
        <v>40436</v>
      </c>
      <c r="I762" s="197" t="str">
        <f>B762&amp;" "&amp;F762&amp;" HP"&amp;"/"&amp;G762</f>
        <v>Graders to 110 HP/10 ft</v>
      </c>
    </row>
    <row r="763" spans="1:9" ht="52.8">
      <c r="A763" s="205">
        <v>8331</v>
      </c>
      <c r="B763" s="201" t="s">
        <v>1602</v>
      </c>
      <c r="C763" s="200" t="s">
        <v>1314</v>
      </c>
      <c r="D763" s="202">
        <v>58</v>
      </c>
      <c r="E763" s="201" t="s">
        <v>1601</v>
      </c>
      <c r="F763" s="200" t="s">
        <v>1532</v>
      </c>
      <c r="G763" s="200" t="s">
        <v>1603</v>
      </c>
      <c r="H763" s="199">
        <v>40436</v>
      </c>
      <c r="I763" s="197" t="str">
        <f>B763&amp;" "&amp;F763&amp;" HP"&amp;"/"&amp;G763</f>
        <v>Graders to 150 HP/12 ft</v>
      </c>
    </row>
    <row r="764" spans="1:9" ht="52.8">
      <c r="A764" s="205">
        <v>8332</v>
      </c>
      <c r="B764" s="201" t="s">
        <v>1602</v>
      </c>
      <c r="C764" s="200" t="s">
        <v>1314</v>
      </c>
      <c r="D764" s="202">
        <v>70</v>
      </c>
      <c r="E764" s="201" t="s">
        <v>1601</v>
      </c>
      <c r="F764" s="200" t="s">
        <v>1600</v>
      </c>
      <c r="G764" s="200" t="s">
        <v>1599</v>
      </c>
      <c r="H764" s="199">
        <v>40436</v>
      </c>
      <c r="I764" s="197" t="str">
        <f>B764&amp;" "&amp;F764&amp;" HP"&amp;"/"&amp;G764</f>
        <v>Graders to 225 HP/14 ft</v>
      </c>
    </row>
    <row r="765" spans="1:9" ht="39.6">
      <c r="A765" s="205">
        <v>8350</v>
      </c>
      <c r="B765" s="201" t="s">
        <v>1598</v>
      </c>
      <c r="C765" s="200" t="s">
        <v>1314</v>
      </c>
      <c r="D765" s="202">
        <v>0.13</v>
      </c>
      <c r="E765" s="201" t="s">
        <v>1591</v>
      </c>
      <c r="F765" s="200"/>
      <c r="G765" s="200" t="s">
        <v>1597</v>
      </c>
      <c r="H765" s="199">
        <v>40436</v>
      </c>
      <c r="I765" s="197" t="str">
        <f t="shared" ref="I765:I778" si="18">B765&amp;" "&amp;" - "&amp;F765&amp;G765</f>
        <v>Hose, Discharge  - 3 in</v>
      </c>
    </row>
    <row r="766" spans="1:9" ht="39.6">
      <c r="A766" s="205">
        <v>8351</v>
      </c>
      <c r="B766" s="201" t="s">
        <v>1598</v>
      </c>
      <c r="C766" s="200" t="s">
        <v>1314</v>
      </c>
      <c r="D766" s="202">
        <v>0.19</v>
      </c>
      <c r="E766" s="201" t="s">
        <v>1591</v>
      </c>
      <c r="F766" s="200"/>
      <c r="G766" s="200" t="s">
        <v>1596</v>
      </c>
      <c r="H766" s="199">
        <v>40436</v>
      </c>
      <c r="I766" s="197" t="str">
        <f t="shared" si="18"/>
        <v>Hose, Discharge  - 4 in</v>
      </c>
    </row>
    <row r="767" spans="1:9" ht="39.6">
      <c r="A767" s="205">
        <v>8352</v>
      </c>
      <c r="B767" s="201" t="s">
        <v>1598</v>
      </c>
      <c r="C767" s="200" t="s">
        <v>1314</v>
      </c>
      <c r="D767" s="202">
        <v>0.5</v>
      </c>
      <c r="E767" s="201" t="s">
        <v>1591</v>
      </c>
      <c r="F767" s="200"/>
      <c r="G767" s="200" t="s">
        <v>1595</v>
      </c>
      <c r="H767" s="199">
        <v>40436</v>
      </c>
      <c r="I767" s="197" t="str">
        <f t="shared" si="18"/>
        <v>Hose, Discharge  - 6 in</v>
      </c>
    </row>
    <row r="768" spans="1:9" ht="39.6">
      <c r="A768" s="205">
        <v>8353</v>
      </c>
      <c r="B768" s="201" t="s">
        <v>1598</v>
      </c>
      <c r="C768" s="200" t="s">
        <v>1314</v>
      </c>
      <c r="D768" s="202">
        <v>0.75</v>
      </c>
      <c r="E768" s="201" t="s">
        <v>1591</v>
      </c>
      <c r="F768" s="200"/>
      <c r="G768" s="200" t="s">
        <v>1594</v>
      </c>
      <c r="H768" s="199">
        <v>40436</v>
      </c>
      <c r="I768" s="197" t="str">
        <f t="shared" si="18"/>
        <v>Hose, Discharge  - 8 in</v>
      </c>
    </row>
    <row r="769" spans="1:9" ht="39.6">
      <c r="A769" s="205">
        <v>8354</v>
      </c>
      <c r="B769" s="201" t="s">
        <v>1598</v>
      </c>
      <c r="C769" s="200" t="s">
        <v>1314</v>
      </c>
      <c r="D769" s="202">
        <v>1.35</v>
      </c>
      <c r="E769" s="201" t="s">
        <v>1591</v>
      </c>
      <c r="F769" s="200"/>
      <c r="G769" s="200" t="s">
        <v>1593</v>
      </c>
      <c r="H769" s="199">
        <v>40436</v>
      </c>
      <c r="I769" s="197" t="str">
        <f t="shared" si="18"/>
        <v>Hose, Discharge  - 12 in</v>
      </c>
    </row>
    <row r="770" spans="1:9" ht="39.6">
      <c r="A770" s="205">
        <v>8355</v>
      </c>
      <c r="B770" s="201" t="s">
        <v>1598</v>
      </c>
      <c r="C770" s="200" t="s">
        <v>1314</v>
      </c>
      <c r="D770" s="202">
        <v>2.2000000000000002</v>
      </c>
      <c r="E770" s="201" t="s">
        <v>1591</v>
      </c>
      <c r="F770" s="200"/>
      <c r="G770" s="200" t="s">
        <v>1590</v>
      </c>
      <c r="H770" s="199">
        <v>40436</v>
      </c>
      <c r="I770" s="197" t="str">
        <f t="shared" si="18"/>
        <v>Hose, Discharge  - 16 in</v>
      </c>
    </row>
    <row r="771" spans="1:9" ht="39.6">
      <c r="A771" s="205">
        <v>8356</v>
      </c>
      <c r="B771" s="201" t="s">
        <v>1592</v>
      </c>
      <c r="C771" s="200" t="s">
        <v>1314</v>
      </c>
      <c r="D771" s="202">
        <v>0.23</v>
      </c>
      <c r="E771" s="201" t="s">
        <v>1591</v>
      </c>
      <c r="F771" s="200"/>
      <c r="G771" s="200" t="s">
        <v>1597</v>
      </c>
      <c r="H771" s="199">
        <v>40436</v>
      </c>
      <c r="I771" s="197" t="str">
        <f t="shared" si="18"/>
        <v>Hose, Suction  - 3 in</v>
      </c>
    </row>
    <row r="772" spans="1:9" ht="39.6">
      <c r="A772" s="205">
        <v>8357</v>
      </c>
      <c r="B772" s="201" t="s">
        <v>1592</v>
      </c>
      <c r="C772" s="200" t="s">
        <v>1314</v>
      </c>
      <c r="D772" s="202">
        <v>0.43</v>
      </c>
      <c r="E772" s="201" t="s">
        <v>1591</v>
      </c>
      <c r="F772" s="200"/>
      <c r="G772" s="200" t="s">
        <v>1596</v>
      </c>
      <c r="H772" s="199">
        <v>40436</v>
      </c>
      <c r="I772" s="197" t="str">
        <f t="shared" si="18"/>
        <v>Hose, Suction  - 4 in</v>
      </c>
    </row>
    <row r="773" spans="1:9" ht="39.6">
      <c r="A773" s="205">
        <v>8358</v>
      </c>
      <c r="B773" s="201" t="s">
        <v>1592</v>
      </c>
      <c r="C773" s="200" t="s">
        <v>1314</v>
      </c>
      <c r="D773" s="202">
        <v>0.9</v>
      </c>
      <c r="E773" s="201" t="s">
        <v>1591</v>
      </c>
      <c r="F773" s="200"/>
      <c r="G773" s="200" t="s">
        <v>1595</v>
      </c>
      <c r="H773" s="199">
        <v>40436</v>
      </c>
      <c r="I773" s="197" t="str">
        <f t="shared" si="18"/>
        <v>Hose, Suction  - 6 in</v>
      </c>
    </row>
    <row r="774" spans="1:9" ht="39.6">
      <c r="A774" s="205">
        <v>8359</v>
      </c>
      <c r="B774" s="201" t="s">
        <v>1592</v>
      </c>
      <c r="C774" s="200" t="s">
        <v>1314</v>
      </c>
      <c r="D774" s="202">
        <v>1.35</v>
      </c>
      <c r="E774" s="201" t="s">
        <v>1591</v>
      </c>
      <c r="F774" s="200"/>
      <c r="G774" s="200" t="s">
        <v>1594</v>
      </c>
      <c r="H774" s="199">
        <v>40436</v>
      </c>
      <c r="I774" s="197" t="str">
        <f t="shared" si="18"/>
        <v>Hose, Suction  - 8 in</v>
      </c>
    </row>
    <row r="775" spans="1:9" ht="39.6">
      <c r="A775" s="205">
        <v>8360</v>
      </c>
      <c r="B775" s="201" t="s">
        <v>1592</v>
      </c>
      <c r="C775" s="200" t="s">
        <v>1314</v>
      </c>
      <c r="D775" s="202">
        <v>2.4500000000000002</v>
      </c>
      <c r="E775" s="201" t="s">
        <v>1591</v>
      </c>
      <c r="F775" s="200"/>
      <c r="G775" s="200" t="s">
        <v>1593</v>
      </c>
      <c r="H775" s="199">
        <v>40436</v>
      </c>
      <c r="I775" s="197" t="str">
        <f t="shared" si="18"/>
        <v>Hose, Suction  - 12 in</v>
      </c>
    </row>
    <row r="776" spans="1:9" ht="39.6">
      <c r="A776" s="205">
        <v>8361</v>
      </c>
      <c r="B776" s="201" t="s">
        <v>1592</v>
      </c>
      <c r="C776" s="200" t="s">
        <v>1314</v>
      </c>
      <c r="D776" s="204">
        <v>3.9</v>
      </c>
      <c r="E776" s="201" t="s">
        <v>1591</v>
      </c>
      <c r="F776" s="200"/>
      <c r="G776" s="200" t="s">
        <v>1590</v>
      </c>
      <c r="H776" s="199">
        <v>40436</v>
      </c>
      <c r="I776" s="197" t="str">
        <f t="shared" si="18"/>
        <v>Hose, Suction  - 16 in</v>
      </c>
    </row>
    <row r="777" spans="1:9">
      <c r="A777" s="205">
        <v>8517</v>
      </c>
      <c r="B777" s="201" t="s">
        <v>1589</v>
      </c>
      <c r="C777" s="200" t="s">
        <v>1314</v>
      </c>
      <c r="D777" s="202">
        <v>1</v>
      </c>
      <c r="E777" s="201" t="s">
        <v>1586</v>
      </c>
      <c r="F777" s="200"/>
      <c r="G777" s="200" t="s">
        <v>1588</v>
      </c>
      <c r="H777" s="199">
        <v>40436</v>
      </c>
      <c r="I777" s="197" t="str">
        <f t="shared" si="18"/>
        <v>Jackhammer (Dry)  - 25-45 lb</v>
      </c>
    </row>
    <row r="778" spans="1:9">
      <c r="A778" s="205">
        <v>8518</v>
      </c>
      <c r="B778" s="201" t="s">
        <v>1587</v>
      </c>
      <c r="C778" s="200" t="s">
        <v>1314</v>
      </c>
      <c r="D778" s="202">
        <v>1.1499999999999999</v>
      </c>
      <c r="E778" s="201" t="s">
        <v>1586</v>
      </c>
      <c r="F778" s="200"/>
      <c r="G778" s="200" t="s">
        <v>1585</v>
      </c>
      <c r="H778" s="199">
        <v>40436</v>
      </c>
      <c r="I778" s="197" t="str">
        <f t="shared" si="18"/>
        <v>Jackhammer (Wet)  - 30-55 lb</v>
      </c>
    </row>
    <row r="779" spans="1:9" ht="26.4">
      <c r="A779" s="205">
        <v>8380</v>
      </c>
      <c r="B779" s="201" t="s">
        <v>1581</v>
      </c>
      <c r="C779" s="200" t="s">
        <v>1314</v>
      </c>
      <c r="D779" s="202">
        <v>11.5</v>
      </c>
      <c r="E779" s="201" t="s">
        <v>1580</v>
      </c>
      <c r="F779" s="200" t="s">
        <v>1584</v>
      </c>
      <c r="G779" s="200" t="s">
        <v>1559</v>
      </c>
      <c r="H779" s="199">
        <v>40436</v>
      </c>
      <c r="I779" s="197" t="str">
        <f t="shared" ref="I779:I786" si="19">B779&amp;" "&amp;F779&amp;" HP"&amp;"/"&amp;G779</f>
        <v>Loader, Crawler to 32 HP/0.5 CY</v>
      </c>
    </row>
    <row r="780" spans="1:9" ht="26.4">
      <c r="A780" s="205">
        <v>8381</v>
      </c>
      <c r="B780" s="201" t="s">
        <v>1581</v>
      </c>
      <c r="C780" s="200" t="s">
        <v>1314</v>
      </c>
      <c r="D780" s="202">
        <v>19</v>
      </c>
      <c r="E780" s="201" t="s">
        <v>1580</v>
      </c>
      <c r="F780" s="200" t="s">
        <v>1446</v>
      </c>
      <c r="G780" s="200" t="s">
        <v>1557</v>
      </c>
      <c r="H780" s="199">
        <v>40436</v>
      </c>
      <c r="I780" s="197" t="str">
        <f t="shared" si="19"/>
        <v>Loader, Crawler to 60 HP/1 CY</v>
      </c>
    </row>
    <row r="781" spans="1:9" ht="26.4">
      <c r="A781" s="205">
        <v>8382</v>
      </c>
      <c r="B781" s="201" t="s">
        <v>1581</v>
      </c>
      <c r="C781" s="200" t="s">
        <v>1314</v>
      </c>
      <c r="D781" s="202">
        <v>42</v>
      </c>
      <c r="E781" s="201" t="s">
        <v>1580</v>
      </c>
      <c r="F781" s="200" t="s">
        <v>1583</v>
      </c>
      <c r="G781" s="200" t="s">
        <v>1569</v>
      </c>
      <c r="H781" s="199">
        <v>40436</v>
      </c>
      <c r="I781" s="197" t="str">
        <f t="shared" si="19"/>
        <v>Loader, Crawler to 118 HP/2 CY</v>
      </c>
    </row>
    <row r="782" spans="1:9" ht="26.4">
      <c r="A782" s="205">
        <v>8383</v>
      </c>
      <c r="B782" s="201" t="s">
        <v>1581</v>
      </c>
      <c r="C782" s="200" t="s">
        <v>1314</v>
      </c>
      <c r="D782" s="202">
        <v>76</v>
      </c>
      <c r="E782" s="201" t="s">
        <v>1580</v>
      </c>
      <c r="F782" s="200" t="s">
        <v>1582</v>
      </c>
      <c r="G782" s="200" t="s">
        <v>1568</v>
      </c>
      <c r="H782" s="199">
        <v>40436</v>
      </c>
      <c r="I782" s="197" t="str">
        <f t="shared" si="19"/>
        <v>Loader, Crawler to 178 HP/3 CY</v>
      </c>
    </row>
    <row r="783" spans="1:9" ht="26.4">
      <c r="A783" s="205">
        <v>8384</v>
      </c>
      <c r="B783" s="201" t="s">
        <v>1581</v>
      </c>
      <c r="C783" s="200" t="s">
        <v>1314</v>
      </c>
      <c r="D783" s="202">
        <v>115</v>
      </c>
      <c r="E783" s="201" t="s">
        <v>1580</v>
      </c>
      <c r="F783" s="200" t="s">
        <v>1579</v>
      </c>
      <c r="G783" s="200" t="s">
        <v>1567</v>
      </c>
      <c r="H783" s="199">
        <v>40436</v>
      </c>
      <c r="I783" s="197" t="str">
        <f t="shared" si="19"/>
        <v>Loader, Crawler to 238 HP/4 CY</v>
      </c>
    </row>
    <row r="784" spans="1:9">
      <c r="A784" s="205">
        <v>8540</v>
      </c>
      <c r="B784" s="201" t="s">
        <v>1576</v>
      </c>
      <c r="C784" s="200" t="s">
        <v>1314</v>
      </c>
      <c r="D784" s="202">
        <v>11</v>
      </c>
      <c r="E784" s="201" t="s">
        <v>1575</v>
      </c>
      <c r="F784" s="200" t="s">
        <v>1507</v>
      </c>
      <c r="G784" s="200" t="s">
        <v>1578</v>
      </c>
      <c r="H784" s="199">
        <v>40436</v>
      </c>
      <c r="I784" s="197" t="str">
        <f t="shared" si="19"/>
        <v>Loader, Skid-Steer to 35 HP/1000 lb</v>
      </c>
    </row>
    <row r="785" spans="1:9">
      <c r="A785" s="205">
        <v>8541</v>
      </c>
      <c r="B785" s="201" t="s">
        <v>1576</v>
      </c>
      <c r="C785" s="200" t="s">
        <v>1314</v>
      </c>
      <c r="D785" s="202">
        <v>18</v>
      </c>
      <c r="E785" s="201" t="s">
        <v>1575</v>
      </c>
      <c r="F785" s="200" t="s">
        <v>1503</v>
      </c>
      <c r="G785" s="200" t="s">
        <v>1577</v>
      </c>
      <c r="H785" s="199">
        <v>40436</v>
      </c>
      <c r="I785" s="197" t="str">
        <f t="shared" si="19"/>
        <v>Loader, Skid-Steer to 65 HP/2000 lb</v>
      </c>
    </row>
    <row r="786" spans="1:9">
      <c r="A786" s="205">
        <v>8542</v>
      </c>
      <c r="B786" s="201" t="s">
        <v>1576</v>
      </c>
      <c r="C786" s="200" t="s">
        <v>1314</v>
      </c>
      <c r="D786" s="202">
        <v>22</v>
      </c>
      <c r="E786" s="201" t="s">
        <v>1575</v>
      </c>
      <c r="F786" s="200" t="s">
        <v>1411</v>
      </c>
      <c r="G786" s="200" t="s">
        <v>1574</v>
      </c>
      <c r="H786" s="199">
        <v>40436</v>
      </c>
      <c r="I786" s="197" t="str">
        <f t="shared" si="19"/>
        <v>Loader, Skid-Steer to 85 HP/3000 lb</v>
      </c>
    </row>
    <row r="787" spans="1:9">
      <c r="A787" s="205">
        <v>8401</v>
      </c>
      <c r="B787" s="201" t="s">
        <v>1573</v>
      </c>
      <c r="C787" s="200" t="s">
        <v>1314</v>
      </c>
      <c r="D787" s="202">
        <v>25</v>
      </c>
      <c r="E787" s="201"/>
      <c r="F787" s="200" t="s">
        <v>1572</v>
      </c>
      <c r="G787" s="200"/>
      <c r="H787" s="199">
        <v>40436</v>
      </c>
      <c r="I787" s="197" t="str">
        <f>B787&amp;" "&amp;F787&amp;" HP"</f>
        <v>Loader, Tractor, Wheel to 81 HP</v>
      </c>
    </row>
    <row r="788" spans="1:9">
      <c r="A788" s="205">
        <v>8390</v>
      </c>
      <c r="B788" s="201" t="s">
        <v>1562</v>
      </c>
      <c r="C788" s="200" t="s">
        <v>1314</v>
      </c>
      <c r="D788" s="202">
        <v>15.5</v>
      </c>
      <c r="E788" s="201" t="s">
        <v>1561</v>
      </c>
      <c r="F788" s="200" t="s">
        <v>1571</v>
      </c>
      <c r="G788" s="200" t="s">
        <v>1559</v>
      </c>
      <c r="H788" s="199">
        <v>40436</v>
      </c>
      <c r="I788" s="197" t="str">
        <f t="shared" ref="I788:I800" si="20">B788&amp;" "&amp;F788&amp;" HP"&amp;"/"&amp;G788</f>
        <v>Loader, Wheel to 38 HP/0.5 CY</v>
      </c>
    </row>
    <row r="789" spans="1:9">
      <c r="A789" s="205">
        <v>8391</v>
      </c>
      <c r="B789" s="201" t="s">
        <v>1562</v>
      </c>
      <c r="C789" s="200" t="s">
        <v>1314</v>
      </c>
      <c r="D789" s="202">
        <v>21.5</v>
      </c>
      <c r="E789" s="201" t="s">
        <v>1561</v>
      </c>
      <c r="F789" s="200" t="s">
        <v>1446</v>
      </c>
      <c r="G789" s="200" t="s">
        <v>1557</v>
      </c>
      <c r="H789" s="199">
        <v>40436</v>
      </c>
      <c r="I789" s="197" t="str">
        <f t="shared" si="20"/>
        <v>Loader, Wheel to 60 HP/1 CY</v>
      </c>
    </row>
    <row r="790" spans="1:9">
      <c r="A790" s="205">
        <v>8392</v>
      </c>
      <c r="B790" s="201" t="s">
        <v>1562</v>
      </c>
      <c r="C790" s="200" t="s">
        <v>1314</v>
      </c>
      <c r="D790" s="202">
        <v>28.75</v>
      </c>
      <c r="E790" s="201" t="s">
        <v>1561</v>
      </c>
      <c r="F790" s="200" t="s">
        <v>1570</v>
      </c>
      <c r="G790" s="200" t="s">
        <v>1569</v>
      </c>
      <c r="H790" s="199">
        <v>40436</v>
      </c>
      <c r="I790" s="197" t="str">
        <f t="shared" si="20"/>
        <v>Loader, Wheel to 105 HP/2 CY</v>
      </c>
    </row>
    <row r="791" spans="1:9">
      <c r="A791" s="205">
        <v>8393</v>
      </c>
      <c r="B791" s="201" t="s">
        <v>1562</v>
      </c>
      <c r="C791" s="200" t="s">
        <v>1314</v>
      </c>
      <c r="D791" s="202">
        <v>40</v>
      </c>
      <c r="E791" s="201" t="s">
        <v>1561</v>
      </c>
      <c r="F791" s="200" t="s">
        <v>1463</v>
      </c>
      <c r="G791" s="200" t="s">
        <v>1568</v>
      </c>
      <c r="H791" s="199">
        <v>40436</v>
      </c>
      <c r="I791" s="197" t="str">
        <f t="shared" si="20"/>
        <v>Loader, Wheel to 152 HP/3 CY</v>
      </c>
    </row>
    <row r="792" spans="1:9">
      <c r="A792" s="205">
        <v>8394</v>
      </c>
      <c r="B792" s="201" t="s">
        <v>1562</v>
      </c>
      <c r="C792" s="200" t="s">
        <v>1314</v>
      </c>
      <c r="D792" s="202">
        <v>52</v>
      </c>
      <c r="E792" s="201" t="s">
        <v>1561</v>
      </c>
      <c r="F792" s="200" t="s">
        <v>1383</v>
      </c>
      <c r="G792" s="200" t="s">
        <v>1567</v>
      </c>
      <c r="H792" s="199">
        <v>40436</v>
      </c>
      <c r="I792" s="197" t="str">
        <f t="shared" si="20"/>
        <v>Loader, Wheel to 200 HP/4 CY</v>
      </c>
    </row>
    <row r="793" spans="1:9">
      <c r="A793" s="205">
        <v>8395</v>
      </c>
      <c r="B793" s="201" t="s">
        <v>1562</v>
      </c>
      <c r="C793" s="200" t="s">
        <v>1314</v>
      </c>
      <c r="D793" s="204">
        <v>66</v>
      </c>
      <c r="E793" s="201" t="s">
        <v>1561</v>
      </c>
      <c r="F793" s="200" t="s">
        <v>1348</v>
      </c>
      <c r="G793" s="200" t="s">
        <v>1464</v>
      </c>
      <c r="H793" s="199">
        <v>40436</v>
      </c>
      <c r="I793" s="197" t="str">
        <f t="shared" si="20"/>
        <v>Loader, Wheel to 250 HP/5 CY</v>
      </c>
    </row>
    <row r="794" spans="1:9">
      <c r="A794" s="205">
        <v>8396</v>
      </c>
      <c r="B794" s="201" t="s">
        <v>1562</v>
      </c>
      <c r="C794" s="200" t="s">
        <v>1314</v>
      </c>
      <c r="D794" s="204">
        <v>82</v>
      </c>
      <c r="E794" s="201" t="s">
        <v>1561</v>
      </c>
      <c r="F794" s="200" t="s">
        <v>1566</v>
      </c>
      <c r="G794" s="200" t="s">
        <v>1565</v>
      </c>
      <c r="H794" s="199">
        <v>40436</v>
      </c>
      <c r="I794" s="197" t="str">
        <f t="shared" si="20"/>
        <v>Loader, Wheel to 305 HP/6 CY</v>
      </c>
    </row>
    <row r="795" spans="1:9">
      <c r="A795" s="205">
        <v>8397</v>
      </c>
      <c r="B795" s="201" t="s">
        <v>1562</v>
      </c>
      <c r="C795" s="200" t="s">
        <v>1314</v>
      </c>
      <c r="D795" s="202">
        <v>95</v>
      </c>
      <c r="E795" s="201" t="s">
        <v>1561</v>
      </c>
      <c r="F795" s="200" t="s">
        <v>1564</v>
      </c>
      <c r="G795" s="200" t="s">
        <v>1563</v>
      </c>
      <c r="H795" s="199">
        <v>40436</v>
      </c>
      <c r="I795" s="197" t="str">
        <f t="shared" si="20"/>
        <v>Loader, Wheel to 360 HP/7 CY</v>
      </c>
    </row>
    <row r="796" spans="1:9">
      <c r="A796" s="205">
        <v>8398</v>
      </c>
      <c r="B796" s="201" t="s">
        <v>1562</v>
      </c>
      <c r="C796" s="200" t="s">
        <v>1314</v>
      </c>
      <c r="D796" s="202">
        <v>140</v>
      </c>
      <c r="E796" s="201" t="s">
        <v>1561</v>
      </c>
      <c r="F796" s="200" t="s">
        <v>1560</v>
      </c>
      <c r="G796" s="200" t="s">
        <v>1403</v>
      </c>
      <c r="H796" s="199">
        <v>40436</v>
      </c>
      <c r="I796" s="197" t="str">
        <f t="shared" si="20"/>
        <v>Loader, Wheel to 530 HP/8 CY</v>
      </c>
    </row>
    <row r="797" spans="1:9" ht="52.8">
      <c r="A797" s="205">
        <v>8570</v>
      </c>
      <c r="B797" s="201" t="s">
        <v>1555</v>
      </c>
      <c r="C797" s="200" t="s">
        <v>1314</v>
      </c>
      <c r="D797" s="202">
        <v>14.75</v>
      </c>
      <c r="E797" s="201" t="s">
        <v>1554</v>
      </c>
      <c r="F797" s="200" t="s">
        <v>1414</v>
      </c>
      <c r="G797" s="200" t="s">
        <v>1559</v>
      </c>
      <c r="H797" s="199">
        <v>40436</v>
      </c>
      <c r="I797" s="197" t="str">
        <f t="shared" si="20"/>
        <v>Loader-Backhoe, Wheel to 40 HP/0.5 CY</v>
      </c>
    </row>
    <row r="798" spans="1:9" ht="52.8">
      <c r="A798" s="205">
        <v>8571</v>
      </c>
      <c r="B798" s="206" t="s">
        <v>1555</v>
      </c>
      <c r="C798" s="200" t="s">
        <v>1314</v>
      </c>
      <c r="D798" s="204">
        <v>23.5</v>
      </c>
      <c r="E798" s="201" t="s">
        <v>1554</v>
      </c>
      <c r="F798" s="200" t="s">
        <v>1558</v>
      </c>
      <c r="G798" s="200" t="s">
        <v>1557</v>
      </c>
      <c r="H798" s="199">
        <v>40436</v>
      </c>
      <c r="I798" s="197" t="str">
        <f t="shared" si="20"/>
        <v>Loader-Backhoe, Wheel to 70 HP/1 CY</v>
      </c>
    </row>
    <row r="799" spans="1:9" ht="52.8">
      <c r="A799" s="205">
        <v>8572</v>
      </c>
      <c r="B799" s="201" t="s">
        <v>1555</v>
      </c>
      <c r="C799" s="200" t="s">
        <v>1314</v>
      </c>
      <c r="D799" s="204">
        <v>33</v>
      </c>
      <c r="E799" s="201" t="s">
        <v>1554</v>
      </c>
      <c r="F799" s="200" t="s">
        <v>1517</v>
      </c>
      <c r="G799" s="200" t="s">
        <v>1556</v>
      </c>
      <c r="H799" s="199">
        <v>40436</v>
      </c>
      <c r="I799" s="197" t="str">
        <f t="shared" si="20"/>
        <v>Loader-Backhoe, Wheel to 95 HP/1.5 CY</v>
      </c>
    </row>
    <row r="800" spans="1:9" ht="52.8">
      <c r="A800" s="205">
        <v>8573</v>
      </c>
      <c r="B800" s="201" t="s">
        <v>1555</v>
      </c>
      <c r="C800" s="200" t="s">
        <v>1314</v>
      </c>
      <c r="D800" s="202">
        <v>38</v>
      </c>
      <c r="E800" s="201" t="s">
        <v>1554</v>
      </c>
      <c r="F800" s="200" t="s">
        <v>1468</v>
      </c>
      <c r="G800" s="200" t="s">
        <v>1553</v>
      </c>
      <c r="H800" s="199">
        <v>40436</v>
      </c>
      <c r="I800" s="197" t="str">
        <f t="shared" si="20"/>
        <v>Loader-Backhoe, Wheel to 115 HP/1.75 CY</v>
      </c>
    </row>
    <row r="801" spans="1:9">
      <c r="A801" s="205">
        <v>8410</v>
      </c>
      <c r="B801" s="201" t="s">
        <v>1551</v>
      </c>
      <c r="C801" s="200" t="s">
        <v>1314</v>
      </c>
      <c r="D801" s="202">
        <v>3.25</v>
      </c>
      <c r="E801" s="201" t="s">
        <v>1547</v>
      </c>
      <c r="F801" s="200"/>
      <c r="G801" s="200" t="s">
        <v>1552</v>
      </c>
      <c r="H801" s="199">
        <v>40436</v>
      </c>
      <c r="I801" s="197" t="str">
        <f>B801&amp;" "&amp;" - "&amp;F801&amp;G801</f>
        <v>Mixer, Concrete Portable  - 10 cft</v>
      </c>
    </row>
    <row r="802" spans="1:9">
      <c r="A802" s="205">
        <v>8411</v>
      </c>
      <c r="B802" s="201" t="s">
        <v>1551</v>
      </c>
      <c r="C802" s="200" t="s">
        <v>1314</v>
      </c>
      <c r="D802" s="202">
        <v>4.25</v>
      </c>
      <c r="E802" s="201" t="s">
        <v>1547</v>
      </c>
      <c r="F802" s="200"/>
      <c r="G802" s="200" t="s">
        <v>1550</v>
      </c>
      <c r="H802" s="199">
        <v>40436</v>
      </c>
      <c r="I802" s="197" t="str">
        <f>B802&amp;" "&amp;" - "&amp;F802&amp;G802</f>
        <v>Mixer, Concrete Portable  - 12 cft</v>
      </c>
    </row>
    <row r="803" spans="1:9">
      <c r="A803" s="205">
        <v>8412</v>
      </c>
      <c r="B803" s="201" t="s">
        <v>1548</v>
      </c>
      <c r="C803" s="200" t="s">
        <v>1314</v>
      </c>
      <c r="D803" s="202">
        <v>8.75</v>
      </c>
      <c r="E803" s="201" t="s">
        <v>1547</v>
      </c>
      <c r="F803" s="200" t="s">
        <v>1340</v>
      </c>
      <c r="G803" s="200" t="s">
        <v>1549</v>
      </c>
      <c r="H803" s="199">
        <v>40436</v>
      </c>
      <c r="I803" s="197" t="str">
        <f>B803&amp;" "&amp;F803&amp;" HP"&amp;"/"&amp;G803</f>
        <v>Mixer, Concrete, Trailer Mntd to 10 HP/11 cft</v>
      </c>
    </row>
    <row r="804" spans="1:9">
      <c r="A804" s="205">
        <v>8413</v>
      </c>
      <c r="B804" s="201" t="s">
        <v>1548</v>
      </c>
      <c r="C804" s="200" t="s">
        <v>1314</v>
      </c>
      <c r="D804" s="202">
        <v>15.25</v>
      </c>
      <c r="E804" s="201" t="s">
        <v>1547</v>
      </c>
      <c r="F804" s="200" t="s">
        <v>1518</v>
      </c>
      <c r="G804" s="200" t="s">
        <v>1546</v>
      </c>
      <c r="H804" s="199">
        <v>40436</v>
      </c>
      <c r="I804" s="197" t="str">
        <f>B804&amp;" "&amp;F804&amp;" HP"&amp;"/"&amp;G804</f>
        <v>Mixer, Concrete, Trailer Mntd to 25 HP/16 cft</v>
      </c>
    </row>
    <row r="805" spans="1:9">
      <c r="A805" s="205">
        <v>8075</v>
      </c>
      <c r="B805" s="201" t="s">
        <v>1545</v>
      </c>
      <c r="C805" s="200" t="s">
        <v>1369</v>
      </c>
      <c r="D805" s="202">
        <v>0.35</v>
      </c>
      <c r="E805" s="201"/>
      <c r="F805" s="200"/>
      <c r="G805" s="200"/>
      <c r="H805" s="199">
        <v>40436</v>
      </c>
      <c r="I805" s="197" t="str">
        <f>B805&amp;" "&amp;F805&amp;" HP"</f>
        <v>Motorcycle, Police  HP</v>
      </c>
    </row>
    <row r="806" spans="1:9">
      <c r="A806" s="205">
        <v>8633</v>
      </c>
      <c r="B806" s="201" t="s">
        <v>1541</v>
      </c>
      <c r="C806" s="200" t="s">
        <v>1314</v>
      </c>
      <c r="D806" s="202">
        <v>10.25</v>
      </c>
      <c r="E806" s="201" t="s">
        <v>1540</v>
      </c>
      <c r="F806" s="200" t="s">
        <v>1507</v>
      </c>
      <c r="G806" s="200" t="s">
        <v>1544</v>
      </c>
      <c r="H806" s="199">
        <v>40436</v>
      </c>
      <c r="I806" s="197" t="str">
        <f>B806&amp;" "&amp;F806&amp;" HP"&amp;"/"&amp;G806</f>
        <v>Mulcher, Trailer Mntd to 35 HP/7 tph</v>
      </c>
    </row>
    <row r="807" spans="1:9">
      <c r="A807" s="205">
        <v>8634</v>
      </c>
      <c r="B807" s="201" t="s">
        <v>1541</v>
      </c>
      <c r="C807" s="200" t="s">
        <v>1314</v>
      </c>
      <c r="D807" s="202">
        <v>15.75</v>
      </c>
      <c r="E807" s="201" t="s">
        <v>1540</v>
      </c>
      <c r="F807" s="200" t="s">
        <v>1543</v>
      </c>
      <c r="G807" s="200" t="s">
        <v>1542</v>
      </c>
      <c r="H807" s="199">
        <v>40436</v>
      </c>
      <c r="I807" s="197" t="str">
        <f>B807&amp;" "&amp;F807&amp;" HP"&amp;"/"&amp;G807</f>
        <v>Mulcher, Trailer Mntd to 55 HP/10 tph</v>
      </c>
    </row>
    <row r="808" spans="1:9">
      <c r="A808" s="205">
        <v>8635</v>
      </c>
      <c r="B808" s="201" t="s">
        <v>1541</v>
      </c>
      <c r="C808" s="200" t="s">
        <v>1314</v>
      </c>
      <c r="D808" s="202">
        <v>24.75</v>
      </c>
      <c r="E808" s="201" t="s">
        <v>1540</v>
      </c>
      <c r="F808" s="200" t="s">
        <v>1539</v>
      </c>
      <c r="G808" s="200" t="s">
        <v>1538</v>
      </c>
      <c r="H808" s="199">
        <v>40436</v>
      </c>
      <c r="I808" s="197" t="str">
        <f>B808&amp;" "&amp;F808&amp;" HP"&amp;"/"&amp;G808</f>
        <v>Mulcher, Trailer Mntd to 120 HP/20 tph</v>
      </c>
    </row>
    <row r="809" spans="1:9" ht="26.4">
      <c r="A809" s="205">
        <v>8430</v>
      </c>
      <c r="B809" s="201" t="s">
        <v>1537</v>
      </c>
      <c r="C809" s="200" t="s">
        <v>1314</v>
      </c>
      <c r="D809" s="202">
        <v>7</v>
      </c>
      <c r="E809" s="201" t="s">
        <v>1536</v>
      </c>
      <c r="F809" s="200"/>
      <c r="G809" s="200"/>
      <c r="H809" s="199">
        <v>40436</v>
      </c>
      <c r="I809" s="197" t="str">
        <f>B809&amp;" "&amp;F809&amp;G809</f>
        <v xml:space="preserve">Paver, Asphalt, Towed </v>
      </c>
    </row>
    <row r="810" spans="1:9" ht="26.4">
      <c r="A810" s="205">
        <v>8431</v>
      </c>
      <c r="B810" s="201" t="s">
        <v>1534</v>
      </c>
      <c r="C810" s="200" t="s">
        <v>1314</v>
      </c>
      <c r="D810" s="202">
        <v>65</v>
      </c>
      <c r="E810" s="201" t="s">
        <v>1533</v>
      </c>
      <c r="F810" s="200" t="s">
        <v>1333</v>
      </c>
      <c r="G810" s="200"/>
      <c r="H810" s="199">
        <v>40436</v>
      </c>
      <c r="I810" s="197" t="str">
        <f t="shared" ref="I810:I817" si="21">B810&amp;" "&amp;F810&amp;" HP"</f>
        <v>Paver, Asphalt to 50 HP</v>
      </c>
    </row>
    <row r="811" spans="1:9" ht="26.4">
      <c r="A811" s="205">
        <v>8432</v>
      </c>
      <c r="B811" s="201" t="s">
        <v>1534</v>
      </c>
      <c r="C811" s="200" t="s">
        <v>1314</v>
      </c>
      <c r="D811" s="202">
        <v>115</v>
      </c>
      <c r="E811" s="201" t="s">
        <v>1533</v>
      </c>
      <c r="F811" s="200" t="s">
        <v>1535</v>
      </c>
      <c r="G811" s="200"/>
      <c r="H811" s="199">
        <v>40436</v>
      </c>
      <c r="I811" s="197" t="str">
        <f t="shared" si="21"/>
        <v>Paver, Asphalt to 125 HP</v>
      </c>
    </row>
    <row r="812" spans="1:9" ht="26.4">
      <c r="A812" s="205">
        <v>8433</v>
      </c>
      <c r="B812" s="201" t="s">
        <v>1534</v>
      </c>
      <c r="C812" s="200" t="s">
        <v>1314</v>
      </c>
      <c r="D812" s="202">
        <v>125</v>
      </c>
      <c r="E812" s="201" t="s">
        <v>1533</v>
      </c>
      <c r="F812" s="200" t="s">
        <v>1352</v>
      </c>
      <c r="G812" s="200"/>
      <c r="H812" s="199">
        <v>40436</v>
      </c>
      <c r="I812" s="197" t="str">
        <f t="shared" si="21"/>
        <v>Paver, Asphalt to 175 HP</v>
      </c>
    </row>
    <row r="813" spans="1:9" ht="26.4">
      <c r="A813" s="205">
        <v>8434</v>
      </c>
      <c r="B813" s="201" t="s">
        <v>1534</v>
      </c>
      <c r="C813" s="200" t="s">
        <v>1314</v>
      </c>
      <c r="D813" s="202">
        <v>140</v>
      </c>
      <c r="E813" s="201" t="s">
        <v>1533</v>
      </c>
      <c r="F813" s="200" t="s">
        <v>1348</v>
      </c>
      <c r="G813" s="200"/>
      <c r="H813" s="199">
        <v>40436</v>
      </c>
      <c r="I813" s="197" t="str">
        <f t="shared" si="21"/>
        <v>Paver, Asphalt to 250 HP</v>
      </c>
    </row>
    <row r="814" spans="1:9">
      <c r="A814" s="205">
        <v>8436</v>
      </c>
      <c r="B814" s="201" t="s">
        <v>1531</v>
      </c>
      <c r="C814" s="200" t="s">
        <v>1314</v>
      </c>
      <c r="D814" s="202">
        <v>55</v>
      </c>
      <c r="E814" s="201"/>
      <c r="F814" s="200" t="s">
        <v>1436</v>
      </c>
      <c r="G814" s="200"/>
      <c r="H814" s="199">
        <v>40436</v>
      </c>
      <c r="I814" s="197" t="str">
        <f t="shared" si="21"/>
        <v>Pick-up, Asphalt to 110 HP</v>
      </c>
    </row>
    <row r="815" spans="1:9">
      <c r="A815" s="205">
        <v>8437</v>
      </c>
      <c r="B815" s="201" t="s">
        <v>1531</v>
      </c>
      <c r="C815" s="200" t="s">
        <v>1314</v>
      </c>
      <c r="D815" s="202">
        <v>83</v>
      </c>
      <c r="E815" s="201"/>
      <c r="F815" s="200" t="s">
        <v>1532</v>
      </c>
      <c r="G815" s="200"/>
      <c r="H815" s="199">
        <v>40436</v>
      </c>
      <c r="I815" s="197" t="str">
        <f t="shared" si="21"/>
        <v>Pick-up, Asphalt to 150 HP</v>
      </c>
    </row>
    <row r="816" spans="1:9">
      <c r="A816" s="205">
        <v>8438</v>
      </c>
      <c r="B816" s="201" t="s">
        <v>1531</v>
      </c>
      <c r="C816" s="200" t="s">
        <v>1314</v>
      </c>
      <c r="D816" s="202">
        <v>110</v>
      </c>
      <c r="E816" s="201"/>
      <c r="F816" s="200" t="s">
        <v>1383</v>
      </c>
      <c r="G816" s="200"/>
      <c r="H816" s="199">
        <v>40436</v>
      </c>
      <c r="I816" s="197" t="str">
        <f t="shared" si="21"/>
        <v>Pick-up, Asphalt to 200 HP</v>
      </c>
    </row>
    <row r="817" spans="1:9">
      <c r="A817" s="205">
        <v>8439</v>
      </c>
      <c r="B817" s="201" t="s">
        <v>1531</v>
      </c>
      <c r="C817" s="200" t="s">
        <v>1314</v>
      </c>
      <c r="D817" s="202">
        <v>140</v>
      </c>
      <c r="E817" s="201"/>
      <c r="F817" s="200" t="s">
        <v>1381</v>
      </c>
      <c r="G817" s="200"/>
      <c r="H817" s="199">
        <v>40436</v>
      </c>
      <c r="I817" s="197" t="str">
        <f t="shared" si="21"/>
        <v>Pick-up, Asphalt to 275 HP</v>
      </c>
    </row>
    <row r="818" spans="1:9">
      <c r="A818" s="205">
        <v>8660</v>
      </c>
      <c r="B818" s="201" t="s">
        <v>1528</v>
      </c>
      <c r="C818" s="200" t="s">
        <v>1314</v>
      </c>
      <c r="D818" s="202">
        <v>10.25</v>
      </c>
      <c r="E818" s="201" t="s">
        <v>1527</v>
      </c>
      <c r="F818" s="200" t="s">
        <v>1338</v>
      </c>
      <c r="G818" s="201" t="s">
        <v>1530</v>
      </c>
      <c r="H818" s="199">
        <v>40436</v>
      </c>
      <c r="I818" s="197" t="str">
        <f>B818&amp;" "&amp;F818&amp;" HP"&amp;"/"&amp;G818</f>
        <v>Plow, Cable to 30 HP/24 in</v>
      </c>
    </row>
    <row r="819" spans="1:9">
      <c r="A819" s="205">
        <v>8661</v>
      </c>
      <c r="B819" s="201" t="s">
        <v>1528</v>
      </c>
      <c r="C819" s="200" t="s">
        <v>1314</v>
      </c>
      <c r="D819" s="202">
        <v>27.75</v>
      </c>
      <c r="E819" s="201" t="s">
        <v>1527</v>
      </c>
      <c r="F819" s="200" t="s">
        <v>1503</v>
      </c>
      <c r="G819" s="201" t="s">
        <v>1529</v>
      </c>
      <c r="H819" s="199">
        <v>40436</v>
      </c>
      <c r="I819" s="197" t="str">
        <f>B819&amp;" "&amp;F819&amp;" HP"&amp;"/"&amp;G819</f>
        <v>Plow, Cable to 65 HP/36 in</v>
      </c>
    </row>
    <row r="820" spans="1:9">
      <c r="A820" s="205">
        <v>8662</v>
      </c>
      <c r="B820" s="201" t="s">
        <v>1528</v>
      </c>
      <c r="C820" s="200" t="s">
        <v>1314</v>
      </c>
      <c r="D820" s="202">
        <v>31.75</v>
      </c>
      <c r="E820" s="201" t="s">
        <v>1527</v>
      </c>
      <c r="F820" s="200" t="s">
        <v>1436</v>
      </c>
      <c r="G820" s="201" t="s">
        <v>1407</v>
      </c>
      <c r="H820" s="199">
        <v>40436</v>
      </c>
      <c r="I820" s="197" t="str">
        <f>B820&amp;" "&amp;F820&amp;" HP"&amp;"/"&amp;G820</f>
        <v>Plow, Cable to 110 HP/48 in</v>
      </c>
    </row>
    <row r="821" spans="1:9" ht="26.4">
      <c r="A821" s="205">
        <v>8450</v>
      </c>
      <c r="B821" s="201" t="s">
        <v>1525</v>
      </c>
      <c r="C821" s="200" t="s">
        <v>1314</v>
      </c>
      <c r="D821" s="202">
        <v>16</v>
      </c>
      <c r="E821" s="201" t="s">
        <v>1523</v>
      </c>
      <c r="F821" s="200"/>
      <c r="G821" s="200" t="s">
        <v>1526</v>
      </c>
      <c r="H821" s="199">
        <v>40436</v>
      </c>
      <c r="I821" s="197" t="str">
        <f>B821&amp;" "&amp;" - "&amp;F821&amp;G821</f>
        <v>Plow, Snow, Grader Mntd  - to 10 ft</v>
      </c>
    </row>
    <row r="822" spans="1:9" ht="26.4">
      <c r="A822" s="205">
        <v>8451</v>
      </c>
      <c r="B822" s="201" t="s">
        <v>1525</v>
      </c>
      <c r="C822" s="200" t="s">
        <v>1314</v>
      </c>
      <c r="D822" s="204">
        <v>24</v>
      </c>
      <c r="E822" s="201" t="s">
        <v>1523</v>
      </c>
      <c r="F822" s="200"/>
      <c r="G822" s="200" t="s">
        <v>1524</v>
      </c>
      <c r="H822" s="199">
        <v>40436</v>
      </c>
      <c r="I822" s="197" t="str">
        <f>B822&amp;" "&amp;" - "&amp;F822&amp;G822</f>
        <v>Plow, Snow, Grader Mntd  - to 14 ft</v>
      </c>
    </row>
    <row r="823" spans="1:9" ht="26.4">
      <c r="A823" s="205">
        <v>8452</v>
      </c>
      <c r="B823" s="201" t="s">
        <v>1522</v>
      </c>
      <c r="C823" s="200" t="s">
        <v>1314</v>
      </c>
      <c r="D823" s="204">
        <v>10.75</v>
      </c>
      <c r="E823" s="201" t="s">
        <v>1523</v>
      </c>
      <c r="F823" s="200"/>
      <c r="G823" s="200" t="s">
        <v>1520</v>
      </c>
      <c r="H823" s="199">
        <v>40436</v>
      </c>
      <c r="I823" s="197" t="str">
        <f>B823&amp;" "&amp;" - "&amp;F823&amp;G823</f>
        <v>Plow, Snow, Truck Mntd  - to 15 ft</v>
      </c>
    </row>
    <row r="824" spans="1:9" ht="52.8">
      <c r="A824" s="205">
        <v>8453</v>
      </c>
      <c r="B824" s="201" t="s">
        <v>1522</v>
      </c>
      <c r="C824" s="200" t="s">
        <v>1314</v>
      </c>
      <c r="D824" s="204">
        <v>18.5</v>
      </c>
      <c r="E824" s="201" t="s">
        <v>1521</v>
      </c>
      <c r="F824" s="200"/>
      <c r="G824" s="200" t="s">
        <v>1520</v>
      </c>
      <c r="H824" s="199">
        <v>40436</v>
      </c>
      <c r="I824" s="197" t="str">
        <f>B824&amp;" "&amp;" - "&amp;F824&amp;G824</f>
        <v>Plow, Snow, Truck Mntd  - to 15 ft</v>
      </c>
    </row>
    <row r="825" spans="1:9" ht="26.4">
      <c r="A825" s="205">
        <v>8470</v>
      </c>
      <c r="B825" s="201" t="s">
        <v>1512</v>
      </c>
      <c r="C825" s="200" t="s">
        <v>1314</v>
      </c>
      <c r="D825" s="204">
        <v>2.15</v>
      </c>
      <c r="E825" s="201" t="s">
        <v>1511</v>
      </c>
      <c r="F825" s="200" t="s">
        <v>1336</v>
      </c>
      <c r="G825" s="200"/>
      <c r="H825" s="199">
        <v>40436</v>
      </c>
      <c r="I825" s="197" t="str">
        <f t="shared" ref="I825:I840" si="22">B825&amp;" "&amp;F825&amp;" HP"</f>
        <v>Pump to 4 HP</v>
      </c>
    </row>
    <row r="826" spans="1:9" ht="26.4">
      <c r="A826" s="205">
        <v>8471</v>
      </c>
      <c r="B826" s="201" t="s">
        <v>1512</v>
      </c>
      <c r="C826" s="200" t="s">
        <v>1314</v>
      </c>
      <c r="D826" s="202">
        <v>3.2</v>
      </c>
      <c r="E826" s="201" t="s">
        <v>1511</v>
      </c>
      <c r="F826" s="200" t="s">
        <v>1519</v>
      </c>
      <c r="G826" s="200"/>
      <c r="H826" s="199">
        <v>40436</v>
      </c>
      <c r="I826" s="197" t="str">
        <f t="shared" si="22"/>
        <v>Pump to 6 HP</v>
      </c>
    </row>
    <row r="827" spans="1:9" ht="26.4">
      <c r="A827" s="205">
        <v>8472</v>
      </c>
      <c r="B827" s="201" t="s">
        <v>1512</v>
      </c>
      <c r="C827" s="200" t="s">
        <v>1314</v>
      </c>
      <c r="D827" s="202">
        <v>4.0999999999999996</v>
      </c>
      <c r="E827" s="201" t="s">
        <v>1511</v>
      </c>
      <c r="F827" s="200" t="s">
        <v>1340</v>
      </c>
      <c r="G827" s="200"/>
      <c r="H827" s="199">
        <v>40436</v>
      </c>
      <c r="I827" s="197" t="str">
        <f t="shared" si="22"/>
        <v>Pump to 10 HP</v>
      </c>
    </row>
    <row r="828" spans="1:9" ht="26.4">
      <c r="A828" s="205">
        <v>8473</v>
      </c>
      <c r="B828" s="201" t="s">
        <v>1512</v>
      </c>
      <c r="C828" s="200" t="s">
        <v>1314</v>
      </c>
      <c r="D828" s="202">
        <v>7.75</v>
      </c>
      <c r="E828" s="201" t="s">
        <v>1511</v>
      </c>
      <c r="F828" s="200" t="s">
        <v>1474</v>
      </c>
      <c r="G828" s="200"/>
      <c r="H828" s="199">
        <v>40436</v>
      </c>
      <c r="I828" s="197" t="str">
        <f t="shared" si="22"/>
        <v>Pump to 15 HP</v>
      </c>
    </row>
    <row r="829" spans="1:9" ht="26.4">
      <c r="A829" s="205">
        <v>8474</v>
      </c>
      <c r="B829" s="201" t="s">
        <v>1512</v>
      </c>
      <c r="C829" s="200" t="s">
        <v>1314</v>
      </c>
      <c r="D829" s="202">
        <v>9.25</v>
      </c>
      <c r="E829" s="201" t="s">
        <v>1511</v>
      </c>
      <c r="F829" s="200" t="s">
        <v>1518</v>
      </c>
      <c r="G829" s="200"/>
      <c r="H829" s="199">
        <v>40436</v>
      </c>
      <c r="I829" s="197" t="str">
        <f t="shared" si="22"/>
        <v>Pump to 25 HP</v>
      </c>
    </row>
    <row r="830" spans="1:9" ht="26.4">
      <c r="A830" s="205">
        <v>8475</v>
      </c>
      <c r="B830" s="201" t="s">
        <v>1512</v>
      </c>
      <c r="C830" s="200" t="s">
        <v>1314</v>
      </c>
      <c r="D830" s="202">
        <v>16</v>
      </c>
      <c r="E830" s="201" t="s">
        <v>1511</v>
      </c>
      <c r="F830" s="200" t="s">
        <v>1414</v>
      </c>
      <c r="G830" s="200"/>
      <c r="H830" s="199">
        <v>40436</v>
      </c>
      <c r="I830" s="197" t="str">
        <f t="shared" si="22"/>
        <v>Pump to 40 HP</v>
      </c>
    </row>
    <row r="831" spans="1:9" ht="26.4">
      <c r="A831" s="205">
        <v>8476</v>
      </c>
      <c r="B831" s="201" t="s">
        <v>1512</v>
      </c>
      <c r="C831" s="200" t="s">
        <v>1314</v>
      </c>
      <c r="D831" s="202">
        <v>18.75</v>
      </c>
      <c r="E831" s="201" t="s">
        <v>1511</v>
      </c>
      <c r="F831" s="200" t="s">
        <v>1446</v>
      </c>
      <c r="G831" s="200"/>
      <c r="H831" s="199">
        <v>40436</v>
      </c>
      <c r="I831" s="197" t="str">
        <f t="shared" si="22"/>
        <v>Pump to 60 HP</v>
      </c>
    </row>
    <row r="832" spans="1:9" ht="26.4">
      <c r="A832" s="205">
        <v>8477</v>
      </c>
      <c r="B832" s="201" t="s">
        <v>1512</v>
      </c>
      <c r="C832" s="200" t="s">
        <v>1314</v>
      </c>
      <c r="D832" s="202">
        <v>26.5</v>
      </c>
      <c r="E832" s="201" t="s">
        <v>1511</v>
      </c>
      <c r="F832" s="200" t="s">
        <v>1517</v>
      </c>
      <c r="G832" s="200"/>
      <c r="H832" s="199">
        <v>40436</v>
      </c>
      <c r="I832" s="197" t="str">
        <f t="shared" si="22"/>
        <v>Pump to 95 HP</v>
      </c>
    </row>
    <row r="833" spans="1:9" ht="26.4">
      <c r="A833" s="205">
        <v>8478</v>
      </c>
      <c r="B833" s="201" t="s">
        <v>1512</v>
      </c>
      <c r="C833" s="200" t="s">
        <v>1314</v>
      </c>
      <c r="D833" s="202">
        <v>31</v>
      </c>
      <c r="E833" s="201" t="s">
        <v>1511</v>
      </c>
      <c r="F833" s="200" t="s">
        <v>1516</v>
      </c>
      <c r="G833" s="200"/>
      <c r="H833" s="199">
        <v>40436</v>
      </c>
      <c r="I833" s="197" t="str">
        <f t="shared" si="22"/>
        <v>Pump to 140 HP</v>
      </c>
    </row>
    <row r="834" spans="1:9" ht="26.4">
      <c r="A834" s="205">
        <v>8479</v>
      </c>
      <c r="B834" s="201" t="s">
        <v>1512</v>
      </c>
      <c r="C834" s="200" t="s">
        <v>1314</v>
      </c>
      <c r="D834" s="202">
        <v>36</v>
      </c>
      <c r="E834" s="201" t="s">
        <v>1511</v>
      </c>
      <c r="F834" s="200" t="s">
        <v>1383</v>
      </c>
      <c r="G834" s="200"/>
      <c r="H834" s="199">
        <v>40436</v>
      </c>
      <c r="I834" s="197" t="str">
        <f t="shared" si="22"/>
        <v>Pump to 200 HP</v>
      </c>
    </row>
    <row r="835" spans="1:9" ht="26.4">
      <c r="A835" s="205">
        <v>8480</v>
      </c>
      <c r="B835" s="201" t="s">
        <v>1512</v>
      </c>
      <c r="C835" s="200" t="s">
        <v>1314</v>
      </c>
      <c r="D835" s="202">
        <v>80</v>
      </c>
      <c r="E835" s="201" t="s">
        <v>1511</v>
      </c>
      <c r="F835" s="200" t="s">
        <v>1381</v>
      </c>
      <c r="G835" s="200"/>
      <c r="H835" s="199">
        <v>40436</v>
      </c>
      <c r="I835" s="197" t="str">
        <f t="shared" si="22"/>
        <v>Pump to 275 HP</v>
      </c>
    </row>
    <row r="836" spans="1:9" ht="26.4">
      <c r="A836" s="205">
        <v>8481</v>
      </c>
      <c r="B836" s="201" t="s">
        <v>1512</v>
      </c>
      <c r="C836" s="200" t="s">
        <v>1314</v>
      </c>
      <c r="D836" s="202">
        <v>95</v>
      </c>
      <c r="E836" s="201" t="s">
        <v>1511</v>
      </c>
      <c r="F836" s="200" t="s">
        <v>1515</v>
      </c>
      <c r="G836" s="200"/>
      <c r="H836" s="199">
        <v>40436</v>
      </c>
      <c r="I836" s="197" t="str">
        <f t="shared" si="22"/>
        <v>Pump to 350 HP</v>
      </c>
    </row>
    <row r="837" spans="1:9" ht="26.4">
      <c r="A837" s="205">
        <v>8482</v>
      </c>
      <c r="B837" s="201" t="s">
        <v>1512</v>
      </c>
      <c r="C837" s="200" t="s">
        <v>1314</v>
      </c>
      <c r="D837" s="202">
        <v>120</v>
      </c>
      <c r="E837" s="201" t="s">
        <v>1511</v>
      </c>
      <c r="F837" s="200" t="s">
        <v>1514</v>
      </c>
      <c r="G837" s="200"/>
      <c r="H837" s="199">
        <v>40436</v>
      </c>
      <c r="I837" s="197" t="str">
        <f t="shared" si="22"/>
        <v>Pump to 425 HP</v>
      </c>
    </row>
    <row r="838" spans="1:9" ht="26.4">
      <c r="A838" s="205">
        <v>8483</v>
      </c>
      <c r="B838" s="201" t="s">
        <v>1512</v>
      </c>
      <c r="C838" s="200" t="s">
        <v>1314</v>
      </c>
      <c r="D838" s="202">
        <v>135</v>
      </c>
      <c r="E838" s="201" t="s">
        <v>1511</v>
      </c>
      <c r="F838" s="200" t="s">
        <v>1491</v>
      </c>
      <c r="G838" s="200"/>
      <c r="H838" s="199">
        <v>40436</v>
      </c>
      <c r="I838" s="197" t="str">
        <f t="shared" si="22"/>
        <v>Pump to 500 HP</v>
      </c>
    </row>
    <row r="839" spans="1:9" ht="26.4">
      <c r="A839" s="205">
        <v>8484</v>
      </c>
      <c r="B839" s="201" t="s">
        <v>1512</v>
      </c>
      <c r="C839" s="200" t="s">
        <v>1314</v>
      </c>
      <c r="D839" s="202">
        <v>155</v>
      </c>
      <c r="E839" s="201" t="s">
        <v>1511</v>
      </c>
      <c r="F839" s="200" t="s">
        <v>1513</v>
      </c>
      <c r="G839" s="200"/>
      <c r="H839" s="199">
        <v>40436</v>
      </c>
      <c r="I839" s="197" t="str">
        <f t="shared" si="22"/>
        <v>Pump to 575 HP</v>
      </c>
    </row>
    <row r="840" spans="1:9" ht="26.4">
      <c r="A840" s="205">
        <v>8485</v>
      </c>
      <c r="B840" s="201" t="s">
        <v>1512</v>
      </c>
      <c r="C840" s="200" t="s">
        <v>1314</v>
      </c>
      <c r="D840" s="202">
        <v>180</v>
      </c>
      <c r="E840" s="201" t="s">
        <v>1511</v>
      </c>
      <c r="F840" s="200" t="s">
        <v>1510</v>
      </c>
      <c r="G840" s="200"/>
      <c r="H840" s="199">
        <v>40436</v>
      </c>
      <c r="I840" s="197" t="str">
        <f t="shared" si="22"/>
        <v>Pump to 650 HP</v>
      </c>
    </row>
    <row r="841" spans="1:9">
      <c r="A841" s="205">
        <v>8510</v>
      </c>
      <c r="B841" s="201" t="s">
        <v>1505</v>
      </c>
      <c r="C841" s="200" t="s">
        <v>1314</v>
      </c>
      <c r="D841" s="202">
        <v>6</v>
      </c>
      <c r="E841" s="201" t="s">
        <v>1504</v>
      </c>
      <c r="F841" s="200" t="s">
        <v>1509</v>
      </c>
      <c r="G841" s="200" t="s">
        <v>1508</v>
      </c>
      <c r="H841" s="199">
        <v>40436</v>
      </c>
      <c r="I841" s="197" t="str">
        <f>B841&amp;" "&amp;F841&amp;" HP"&amp;"/"&amp;G841</f>
        <v>Saw, Concrete to 14 HP/14 in</v>
      </c>
    </row>
    <row r="842" spans="1:9">
      <c r="A842" s="205">
        <v>8511</v>
      </c>
      <c r="B842" s="201" t="s">
        <v>1505</v>
      </c>
      <c r="C842" s="200" t="s">
        <v>1314</v>
      </c>
      <c r="D842" s="202">
        <v>13.5</v>
      </c>
      <c r="E842" s="201" t="s">
        <v>1504</v>
      </c>
      <c r="F842" s="200" t="s">
        <v>1507</v>
      </c>
      <c r="G842" s="200" t="s">
        <v>1506</v>
      </c>
      <c r="H842" s="199">
        <v>40436</v>
      </c>
      <c r="I842" s="197" t="str">
        <f>B842&amp;" "&amp;F842&amp;" HP"&amp;"/"&amp;G842</f>
        <v>Saw, Concrete to 35 HP/26 in</v>
      </c>
    </row>
    <row r="843" spans="1:9">
      <c r="A843" s="205">
        <v>8512</v>
      </c>
      <c r="B843" s="201" t="s">
        <v>1505</v>
      </c>
      <c r="C843" s="200" t="s">
        <v>1314</v>
      </c>
      <c r="D843" s="202">
        <v>23</v>
      </c>
      <c r="E843" s="201" t="s">
        <v>1504</v>
      </c>
      <c r="F843" s="200" t="s">
        <v>1503</v>
      </c>
      <c r="G843" s="200" t="s">
        <v>1407</v>
      </c>
      <c r="H843" s="199">
        <v>40436</v>
      </c>
      <c r="I843" s="197" t="str">
        <f>B843&amp;" "&amp;F843&amp;" HP"&amp;"/"&amp;G843</f>
        <v>Saw, Concrete to 65 HP/48 in</v>
      </c>
    </row>
    <row r="844" spans="1:9">
      <c r="A844" s="205">
        <v>8513</v>
      </c>
      <c r="B844" s="201" t="s">
        <v>1501</v>
      </c>
      <c r="C844" s="200" t="s">
        <v>1314</v>
      </c>
      <c r="D844" s="202">
        <v>30</v>
      </c>
      <c r="E844" s="201"/>
      <c r="F844" s="200" t="s">
        <v>1502</v>
      </c>
      <c r="G844" s="200"/>
      <c r="H844" s="199">
        <v>40436</v>
      </c>
      <c r="I844" s="197" t="str">
        <f>B844&amp;" "&amp;F844&amp;" HP"</f>
        <v>Saw, Rock to 100 HP</v>
      </c>
    </row>
    <row r="845" spans="1:9">
      <c r="A845" s="205">
        <v>8514</v>
      </c>
      <c r="B845" s="201" t="s">
        <v>1501</v>
      </c>
      <c r="C845" s="200" t="s">
        <v>1314</v>
      </c>
      <c r="D845" s="202">
        <v>60</v>
      </c>
      <c r="E845" s="201"/>
      <c r="F845" s="200" t="s">
        <v>1383</v>
      </c>
      <c r="G845" s="200"/>
      <c r="H845" s="199">
        <v>40436</v>
      </c>
      <c r="I845" s="197" t="str">
        <f>B845&amp;" "&amp;F845&amp;" HP"</f>
        <v>Saw, Rock to 200 HP</v>
      </c>
    </row>
    <row r="846" spans="1:9">
      <c r="A846" s="205">
        <v>8521</v>
      </c>
      <c r="B846" s="201" t="s">
        <v>1495</v>
      </c>
      <c r="C846" s="200" t="s">
        <v>1314</v>
      </c>
      <c r="D846" s="202">
        <v>90</v>
      </c>
      <c r="E846" s="201" t="s">
        <v>1494</v>
      </c>
      <c r="F846" s="200" t="s">
        <v>1348</v>
      </c>
      <c r="G846" s="200" t="s">
        <v>1500</v>
      </c>
      <c r="H846" s="199">
        <v>40436</v>
      </c>
      <c r="I846" s="197" t="str">
        <f t="shared" ref="I846:I865" si="23">B846&amp;" "&amp;F846&amp;" HP"&amp;"/"&amp;G846</f>
        <v>Scraper to 250 HP/16 CY</v>
      </c>
    </row>
    <row r="847" spans="1:9">
      <c r="A847" s="205">
        <v>8522</v>
      </c>
      <c r="B847" s="201" t="s">
        <v>1495</v>
      </c>
      <c r="C847" s="200" t="s">
        <v>1314</v>
      </c>
      <c r="D847" s="202">
        <v>130</v>
      </c>
      <c r="E847" s="201" t="s">
        <v>1494</v>
      </c>
      <c r="F847" s="200" t="s">
        <v>1499</v>
      </c>
      <c r="G847" s="200" t="s">
        <v>1498</v>
      </c>
      <c r="H847" s="199">
        <v>40436</v>
      </c>
      <c r="I847" s="197" t="str">
        <f t="shared" si="23"/>
        <v>Scraper to 365 HP/23 CY</v>
      </c>
    </row>
    <row r="848" spans="1:9">
      <c r="A848" s="205">
        <v>8523</v>
      </c>
      <c r="B848" s="201" t="s">
        <v>1495</v>
      </c>
      <c r="C848" s="200" t="s">
        <v>1314</v>
      </c>
      <c r="D848" s="202">
        <v>200</v>
      </c>
      <c r="E848" s="201" t="s">
        <v>1494</v>
      </c>
      <c r="F848" s="200" t="s">
        <v>1497</v>
      </c>
      <c r="G848" s="200" t="s">
        <v>1496</v>
      </c>
      <c r="H848" s="199">
        <v>40436</v>
      </c>
      <c r="I848" s="197" t="str">
        <f t="shared" si="23"/>
        <v>Scraper to 475 HP/34 CY</v>
      </c>
    </row>
    <row r="849" spans="1:9">
      <c r="A849" s="205">
        <v>8524</v>
      </c>
      <c r="B849" s="201" t="s">
        <v>1495</v>
      </c>
      <c r="C849" s="200" t="s">
        <v>1314</v>
      </c>
      <c r="D849" s="202">
        <v>240</v>
      </c>
      <c r="E849" s="201" t="s">
        <v>1494</v>
      </c>
      <c r="F849" s="200" t="s">
        <v>1488</v>
      </c>
      <c r="G849" s="200" t="s">
        <v>1493</v>
      </c>
      <c r="H849" s="199">
        <v>40436</v>
      </c>
      <c r="I849" s="197" t="str">
        <f t="shared" si="23"/>
        <v>Scraper to 600 HP/44 CY</v>
      </c>
    </row>
    <row r="850" spans="1:9">
      <c r="A850" s="205">
        <v>8560</v>
      </c>
      <c r="B850" s="201" t="s">
        <v>1489</v>
      </c>
      <c r="C850" s="200" t="s">
        <v>1314</v>
      </c>
      <c r="D850" s="202">
        <v>140</v>
      </c>
      <c r="E850" s="201" t="s">
        <v>1372</v>
      </c>
      <c r="F850" s="200" t="s">
        <v>1354</v>
      </c>
      <c r="G850" s="200" t="s">
        <v>1492</v>
      </c>
      <c r="H850" s="199">
        <v>40436</v>
      </c>
      <c r="I850" s="197" t="str">
        <f t="shared" si="23"/>
        <v>Snow Blower to 400 HP/2,000 tph</v>
      </c>
    </row>
    <row r="851" spans="1:9">
      <c r="A851" s="205">
        <v>8561</v>
      </c>
      <c r="B851" s="201" t="s">
        <v>1489</v>
      </c>
      <c r="C851" s="200" t="s">
        <v>1314</v>
      </c>
      <c r="D851" s="202">
        <v>160</v>
      </c>
      <c r="E851" s="201" t="s">
        <v>1372</v>
      </c>
      <c r="F851" s="200" t="s">
        <v>1491</v>
      </c>
      <c r="G851" s="200" t="s">
        <v>1490</v>
      </c>
      <c r="H851" s="199">
        <v>40436</v>
      </c>
      <c r="I851" s="197" t="str">
        <f t="shared" si="23"/>
        <v>Snow Blower to 500 HP/2,500 tph</v>
      </c>
    </row>
    <row r="852" spans="1:9">
      <c r="A852" s="205">
        <v>8562</v>
      </c>
      <c r="B852" s="201" t="s">
        <v>1489</v>
      </c>
      <c r="C852" s="200" t="s">
        <v>1314</v>
      </c>
      <c r="D852" s="202">
        <v>180</v>
      </c>
      <c r="E852" s="201" t="s">
        <v>1372</v>
      </c>
      <c r="F852" s="200" t="s">
        <v>1488</v>
      </c>
      <c r="G852" s="200" t="s">
        <v>1487</v>
      </c>
      <c r="H852" s="199">
        <v>40436</v>
      </c>
      <c r="I852" s="197" t="str">
        <f t="shared" si="23"/>
        <v>Snow Blower to 600 HP/3,500 tph</v>
      </c>
    </row>
    <row r="853" spans="1:9" ht="26.4">
      <c r="A853" s="205">
        <v>8550</v>
      </c>
      <c r="B853" s="201" t="s">
        <v>1481</v>
      </c>
      <c r="C853" s="200" t="s">
        <v>1314</v>
      </c>
      <c r="D853" s="202">
        <v>37.5</v>
      </c>
      <c r="E853" s="201" t="s">
        <v>1480</v>
      </c>
      <c r="F853" s="200" t="s">
        <v>1486</v>
      </c>
      <c r="G853" s="200" t="s">
        <v>1485</v>
      </c>
      <c r="H853" s="199">
        <v>40436</v>
      </c>
      <c r="I853" s="197" t="str">
        <f t="shared" si="23"/>
        <v>Snow Blower, Truck Mntd to 75 HP/600 tph</v>
      </c>
    </row>
    <row r="854" spans="1:9" ht="26.4">
      <c r="A854" s="205">
        <v>8551</v>
      </c>
      <c r="B854" s="207" t="s">
        <v>1481</v>
      </c>
      <c r="C854" s="200" t="s">
        <v>1314</v>
      </c>
      <c r="D854" s="204">
        <v>70</v>
      </c>
      <c r="E854" s="201" t="s">
        <v>1480</v>
      </c>
      <c r="F854" s="200" t="s">
        <v>1383</v>
      </c>
      <c r="G854" s="200" t="s">
        <v>1484</v>
      </c>
      <c r="H854" s="199">
        <v>40436</v>
      </c>
      <c r="I854" s="197" t="str">
        <f t="shared" si="23"/>
        <v>Snow Blower, Truck Mntd to 200 HP/1400 tph</v>
      </c>
    </row>
    <row r="855" spans="1:9" ht="26.4">
      <c r="A855" s="205">
        <v>8552</v>
      </c>
      <c r="B855" s="201" t="s">
        <v>1481</v>
      </c>
      <c r="C855" s="200" t="s">
        <v>1314</v>
      </c>
      <c r="D855" s="202">
        <v>110</v>
      </c>
      <c r="E855" s="201" t="s">
        <v>1480</v>
      </c>
      <c r="F855" s="200" t="s">
        <v>1483</v>
      </c>
      <c r="G855" s="200" t="s">
        <v>1482</v>
      </c>
      <c r="H855" s="199">
        <v>40436</v>
      </c>
      <c r="I855" s="197" t="str">
        <f t="shared" si="23"/>
        <v>Snow Blower, Truck Mntd to 340 HP/2000 tph</v>
      </c>
    </row>
    <row r="856" spans="1:9" ht="26.4">
      <c r="A856" s="205">
        <v>8553</v>
      </c>
      <c r="B856" s="201" t="s">
        <v>1481</v>
      </c>
      <c r="C856" s="200" t="s">
        <v>1314</v>
      </c>
      <c r="D856" s="202">
        <v>120</v>
      </c>
      <c r="E856" s="201" t="s">
        <v>1480</v>
      </c>
      <c r="F856" s="200" t="s">
        <v>1354</v>
      </c>
      <c r="G856" s="200" t="s">
        <v>1479</v>
      </c>
      <c r="H856" s="199">
        <v>40436</v>
      </c>
      <c r="I856" s="197" t="str">
        <f t="shared" si="23"/>
        <v>Snow Blower, Truck Mntd to 400 HP/2500 tph</v>
      </c>
    </row>
    <row r="857" spans="1:9">
      <c r="A857" s="205">
        <v>8558</v>
      </c>
      <c r="B857" s="201" t="s">
        <v>1476</v>
      </c>
      <c r="C857" s="200" t="s">
        <v>1314</v>
      </c>
      <c r="D857" s="202">
        <v>3.25</v>
      </c>
      <c r="E857" s="201" t="s">
        <v>1475</v>
      </c>
      <c r="F857" s="200" t="s">
        <v>1478</v>
      </c>
      <c r="G857" s="200" t="s">
        <v>1477</v>
      </c>
      <c r="H857" s="199">
        <v>40436</v>
      </c>
      <c r="I857" s="197" t="str">
        <f t="shared" si="23"/>
        <v>Snow Thrower, Walk Behind to 5 HP/25 in</v>
      </c>
    </row>
    <row r="858" spans="1:9">
      <c r="A858" s="205">
        <v>8559</v>
      </c>
      <c r="B858" s="201" t="s">
        <v>1476</v>
      </c>
      <c r="C858" s="200" t="s">
        <v>1314</v>
      </c>
      <c r="D858" s="202">
        <v>7</v>
      </c>
      <c r="E858" s="201" t="s">
        <v>1475</v>
      </c>
      <c r="F858" s="200" t="s">
        <v>1474</v>
      </c>
      <c r="G858" s="200" t="s">
        <v>1473</v>
      </c>
      <c r="H858" s="199">
        <v>40436</v>
      </c>
      <c r="I858" s="197" t="str">
        <f t="shared" si="23"/>
        <v>Snow Thrower, Walk Behind to 15 HP/60 in</v>
      </c>
    </row>
    <row r="859" spans="1:9" ht="66">
      <c r="A859" s="205">
        <v>8630</v>
      </c>
      <c r="B859" s="201" t="s">
        <v>1470</v>
      </c>
      <c r="C859" s="200" t="s">
        <v>1314</v>
      </c>
      <c r="D859" s="202">
        <v>9.75</v>
      </c>
      <c r="E859" s="201" t="s">
        <v>1469</v>
      </c>
      <c r="F859" s="200" t="s">
        <v>1338</v>
      </c>
      <c r="G859" s="200" t="s">
        <v>1472</v>
      </c>
      <c r="H859" s="199">
        <v>40436</v>
      </c>
      <c r="I859" s="197" t="str">
        <f t="shared" si="23"/>
        <v>Sprayer, Seed to 30 HP/750 gal</v>
      </c>
    </row>
    <row r="860" spans="1:9" ht="66">
      <c r="A860" s="205">
        <v>8631</v>
      </c>
      <c r="B860" s="201" t="s">
        <v>1470</v>
      </c>
      <c r="C860" s="200" t="s">
        <v>1314</v>
      </c>
      <c r="D860" s="202">
        <v>15</v>
      </c>
      <c r="E860" s="201" t="s">
        <v>1469</v>
      </c>
      <c r="F860" s="200" t="s">
        <v>1333</v>
      </c>
      <c r="G860" s="200" t="s">
        <v>1471</v>
      </c>
      <c r="H860" s="199">
        <v>40436</v>
      </c>
      <c r="I860" s="197" t="str">
        <f t="shared" si="23"/>
        <v>Sprayer, Seed to 50 HP/1250 gal</v>
      </c>
    </row>
    <row r="861" spans="1:9" ht="66">
      <c r="A861" s="205">
        <v>8632</v>
      </c>
      <c r="B861" s="201" t="s">
        <v>1470</v>
      </c>
      <c r="C861" s="200" t="s">
        <v>1314</v>
      </c>
      <c r="D861" s="202">
        <v>25.75</v>
      </c>
      <c r="E861" s="201" t="s">
        <v>1469</v>
      </c>
      <c r="F861" s="200" t="s">
        <v>1468</v>
      </c>
      <c r="G861" s="200" t="s">
        <v>1467</v>
      </c>
      <c r="H861" s="199">
        <v>40436</v>
      </c>
      <c r="I861" s="197" t="str">
        <f t="shared" si="23"/>
        <v>Sprayer, Seed to 115 HP/3500 gal</v>
      </c>
    </row>
    <row r="862" spans="1:9" ht="52.8">
      <c r="A862" s="205">
        <v>8458</v>
      </c>
      <c r="B862" s="201" t="s">
        <v>1466</v>
      </c>
      <c r="C862" s="200" t="s">
        <v>1314</v>
      </c>
      <c r="D862" s="202">
        <v>4</v>
      </c>
      <c r="E862" s="201" t="s">
        <v>1465</v>
      </c>
      <c r="F862" s="200" t="s">
        <v>1336</v>
      </c>
      <c r="G862" s="200" t="s">
        <v>1464</v>
      </c>
      <c r="H862" s="199">
        <v>40436</v>
      </c>
      <c r="I862" s="197" t="str">
        <f t="shared" si="23"/>
        <v>Spreader, Chemical to 4 HP/5 CY</v>
      </c>
    </row>
    <row r="863" spans="1:9" ht="26.4">
      <c r="A863" s="205">
        <v>8423</v>
      </c>
      <c r="B863" s="201" t="s">
        <v>1461</v>
      </c>
      <c r="C863" s="200" t="s">
        <v>1314</v>
      </c>
      <c r="D863" s="202">
        <v>50</v>
      </c>
      <c r="E863" s="201" t="s">
        <v>1460</v>
      </c>
      <c r="F863" s="200" t="s">
        <v>1463</v>
      </c>
      <c r="G863" s="200" t="s">
        <v>1462</v>
      </c>
      <c r="H863" s="199">
        <v>40436</v>
      </c>
      <c r="I863" s="197" t="str">
        <f t="shared" si="23"/>
        <v>Spreader, Chip to 152 HP/12.5 ft</v>
      </c>
    </row>
    <row r="864" spans="1:9" ht="26.4">
      <c r="A864" s="205">
        <v>8424</v>
      </c>
      <c r="B864" s="201" t="s">
        <v>1461</v>
      </c>
      <c r="C864" s="200" t="s">
        <v>1314</v>
      </c>
      <c r="D864" s="202">
        <v>80</v>
      </c>
      <c r="E864" s="201" t="s">
        <v>1460</v>
      </c>
      <c r="F864" s="200" t="s">
        <v>1459</v>
      </c>
      <c r="G864" s="200" t="s">
        <v>1458</v>
      </c>
      <c r="H864" s="199">
        <v>40436</v>
      </c>
      <c r="I864" s="197" t="str">
        <f t="shared" si="23"/>
        <v>Spreader, Chip to 215 HP/16.5 ft</v>
      </c>
    </row>
    <row r="865" spans="1:9" ht="39.6">
      <c r="A865" s="205">
        <v>8425</v>
      </c>
      <c r="B865" s="201" t="s">
        <v>1457</v>
      </c>
      <c r="C865" s="200" t="s">
        <v>1314</v>
      </c>
      <c r="D865" s="204">
        <v>3.3</v>
      </c>
      <c r="E865" s="201" t="s">
        <v>1456</v>
      </c>
      <c r="F865" s="200" t="s">
        <v>1455</v>
      </c>
      <c r="G865" s="200" t="s">
        <v>1454</v>
      </c>
      <c r="H865" s="199">
        <v>40436</v>
      </c>
      <c r="I865" s="197" t="str">
        <f t="shared" si="23"/>
        <v>Spreader, Chip, Mntd to 8 HP/8 ft</v>
      </c>
    </row>
    <row r="866" spans="1:9" ht="26.4">
      <c r="A866" s="205">
        <v>8455</v>
      </c>
      <c r="B866" s="201" t="s">
        <v>1451</v>
      </c>
      <c r="C866" s="200" t="s">
        <v>1314</v>
      </c>
      <c r="D866" s="202">
        <v>3.3</v>
      </c>
      <c r="E866" s="201" t="s">
        <v>1450</v>
      </c>
      <c r="F866" s="200"/>
      <c r="G866" s="200" t="s">
        <v>1453</v>
      </c>
      <c r="H866" s="199">
        <v>40436</v>
      </c>
      <c r="I866" s="197" t="str">
        <f>B866&amp;" "&amp;" - "&amp;F866&amp;G866</f>
        <v>Spreader, Sand  - Tailgate, Chassis</v>
      </c>
    </row>
    <row r="867" spans="1:9" ht="26.4">
      <c r="A867" s="205">
        <v>8456</v>
      </c>
      <c r="B867" s="201" t="s">
        <v>1451</v>
      </c>
      <c r="C867" s="200" t="s">
        <v>1314</v>
      </c>
      <c r="D867" s="202">
        <v>5.5</v>
      </c>
      <c r="E867" s="201" t="s">
        <v>1450</v>
      </c>
      <c r="F867" s="200"/>
      <c r="G867" s="200" t="s">
        <v>1452</v>
      </c>
      <c r="H867" s="199">
        <v>40436</v>
      </c>
      <c r="I867" s="197" t="str">
        <f>B867&amp;" "&amp;" - "&amp;F867&amp;G867</f>
        <v>Spreader, Sand  - Dump Body</v>
      </c>
    </row>
    <row r="868" spans="1:9" ht="26.4">
      <c r="A868" s="205">
        <v>8457</v>
      </c>
      <c r="B868" s="201" t="s">
        <v>1451</v>
      </c>
      <c r="C868" s="200" t="s">
        <v>1314</v>
      </c>
      <c r="D868" s="204">
        <v>7.5</v>
      </c>
      <c r="E868" s="201" t="s">
        <v>1450</v>
      </c>
      <c r="F868" s="200"/>
      <c r="G868" s="200" t="s">
        <v>1449</v>
      </c>
      <c r="H868" s="199">
        <v>40436</v>
      </c>
      <c r="I868" s="197" t="str">
        <f>B868&amp;" "&amp;" - "&amp;F868&amp;G868</f>
        <v>Spreader, Sand  - Truck (10 yd)</v>
      </c>
    </row>
    <row r="869" spans="1:9">
      <c r="A869" s="205">
        <v>8440</v>
      </c>
      <c r="B869" s="201" t="s">
        <v>1444</v>
      </c>
      <c r="C869" s="200" t="s">
        <v>1314</v>
      </c>
      <c r="D869" s="202">
        <v>8.75</v>
      </c>
      <c r="E869" s="201" t="s">
        <v>1438</v>
      </c>
      <c r="F869" s="200" t="s">
        <v>1448</v>
      </c>
      <c r="G869" s="200" t="s">
        <v>1447</v>
      </c>
      <c r="H869" s="199">
        <v>40436</v>
      </c>
      <c r="I869" s="197" t="str">
        <f>B869&amp;" "&amp;F869&amp;" HP"&amp;"/"&amp;G869</f>
        <v>Striper to 22 HP/40 gal</v>
      </c>
    </row>
    <row r="870" spans="1:9">
      <c r="A870" s="205">
        <v>8441</v>
      </c>
      <c r="B870" s="201" t="s">
        <v>1444</v>
      </c>
      <c r="C870" s="200" t="s">
        <v>1314</v>
      </c>
      <c r="D870" s="202">
        <v>19</v>
      </c>
      <c r="E870" s="201" t="s">
        <v>1438</v>
      </c>
      <c r="F870" s="200" t="s">
        <v>1446</v>
      </c>
      <c r="G870" s="200" t="s">
        <v>1445</v>
      </c>
      <c r="H870" s="199">
        <v>40436</v>
      </c>
      <c r="I870" s="197" t="str">
        <f>B870&amp;" "&amp;F870&amp;" HP"&amp;"/"&amp;G870</f>
        <v>Striper to 60 HP/90 gal</v>
      </c>
    </row>
    <row r="871" spans="1:9">
      <c r="A871" s="205">
        <v>8442</v>
      </c>
      <c r="B871" s="201" t="s">
        <v>1444</v>
      </c>
      <c r="C871" s="200" t="s">
        <v>1314</v>
      </c>
      <c r="D871" s="202">
        <v>37</v>
      </c>
      <c r="E871" s="201" t="s">
        <v>1438</v>
      </c>
      <c r="F871" s="200" t="s">
        <v>1443</v>
      </c>
      <c r="G871" s="200" t="s">
        <v>1440</v>
      </c>
      <c r="H871" s="199">
        <v>40436</v>
      </c>
      <c r="I871" s="197" t="str">
        <f>B871&amp;" "&amp;F871&amp;" HP"&amp;"/"&amp;G871</f>
        <v>Striper to 122 HP/120 gal</v>
      </c>
    </row>
    <row r="872" spans="1:9">
      <c r="A872" s="205">
        <v>8445</v>
      </c>
      <c r="B872" s="201" t="s">
        <v>1442</v>
      </c>
      <c r="C872" s="200" t="s">
        <v>1314</v>
      </c>
      <c r="D872" s="202">
        <v>70</v>
      </c>
      <c r="E872" s="201" t="s">
        <v>1438</v>
      </c>
      <c r="F872" s="200" t="s">
        <v>1441</v>
      </c>
      <c r="G872" s="200" t="s">
        <v>1440</v>
      </c>
      <c r="H872" s="199">
        <v>40436</v>
      </c>
      <c r="I872" s="197" t="str">
        <f>B872&amp;" "&amp;F872&amp;" HP"&amp;"/"&amp;G872</f>
        <v>Striper, Truck Mntd to 460 HP/120 gal</v>
      </c>
    </row>
    <row r="873" spans="1:9">
      <c r="A873" s="205">
        <v>8446</v>
      </c>
      <c r="B873" s="201" t="s">
        <v>1439</v>
      </c>
      <c r="C873" s="200" t="s">
        <v>1314</v>
      </c>
      <c r="D873" s="202">
        <v>3.35</v>
      </c>
      <c r="E873" s="201" t="s">
        <v>1438</v>
      </c>
      <c r="F873" s="200"/>
      <c r="G873" s="200" t="s">
        <v>1437</v>
      </c>
      <c r="H873" s="199">
        <v>40436</v>
      </c>
      <c r="I873" s="197" t="str">
        <f>B873&amp;" "&amp;" - "&amp;F873&amp;G873</f>
        <v>Striper, Walk-behind  - 12 gal</v>
      </c>
    </row>
    <row r="874" spans="1:9">
      <c r="A874" s="205">
        <v>8157</v>
      </c>
      <c r="B874" s="201" t="s">
        <v>1435</v>
      </c>
      <c r="C874" s="200" t="s">
        <v>1314</v>
      </c>
      <c r="D874" s="202">
        <v>59</v>
      </c>
      <c r="E874" s="201"/>
      <c r="F874" s="200" t="s">
        <v>1436</v>
      </c>
      <c r="G874" s="200"/>
      <c r="H874" s="199">
        <v>40436</v>
      </c>
      <c r="I874" s="197" t="str">
        <f>B874&amp;" "&amp;F874&amp;" HP"</f>
        <v>Sweeper, Pavement to 110 HP</v>
      </c>
    </row>
    <row r="875" spans="1:9">
      <c r="A875" s="205">
        <v>8158</v>
      </c>
      <c r="B875" s="201" t="s">
        <v>1435</v>
      </c>
      <c r="C875" s="200" t="s">
        <v>1314</v>
      </c>
      <c r="D875" s="202">
        <v>74</v>
      </c>
      <c r="E875" s="201"/>
      <c r="F875" s="200" t="s">
        <v>1434</v>
      </c>
      <c r="G875" s="200"/>
      <c r="H875" s="199">
        <v>40436</v>
      </c>
      <c r="I875" s="197" t="str">
        <f>B875&amp;" "&amp;F875&amp;" HP"</f>
        <v>Sweeper, Pavement to 230 HP</v>
      </c>
    </row>
    <row r="876" spans="1:9" ht="39.6">
      <c r="A876" s="205">
        <v>8590</v>
      </c>
      <c r="B876" s="201" t="s">
        <v>1432</v>
      </c>
      <c r="C876" s="200" t="s">
        <v>1314</v>
      </c>
      <c r="D876" s="202">
        <v>8</v>
      </c>
      <c r="E876" s="201" t="s">
        <v>1431</v>
      </c>
      <c r="F876" s="200"/>
      <c r="G876" s="200" t="s">
        <v>1433</v>
      </c>
      <c r="H876" s="199">
        <v>40436</v>
      </c>
      <c r="I876" s="197" t="str">
        <f t="shared" ref="I876:I888" si="24">B876&amp;" "&amp;" - "&amp;F876&amp;G876</f>
        <v>Trailer, Dump  - 20 CY</v>
      </c>
    </row>
    <row r="877" spans="1:9" ht="39.6">
      <c r="A877" s="205">
        <v>8591</v>
      </c>
      <c r="B877" s="201" t="s">
        <v>1432</v>
      </c>
      <c r="C877" s="200" t="s">
        <v>1314</v>
      </c>
      <c r="D877" s="202">
        <v>14</v>
      </c>
      <c r="E877" s="201" t="s">
        <v>1431</v>
      </c>
      <c r="F877" s="200"/>
      <c r="G877" s="200" t="s">
        <v>1430</v>
      </c>
      <c r="H877" s="199">
        <v>40436</v>
      </c>
      <c r="I877" s="197" t="str">
        <f t="shared" si="24"/>
        <v>Trailer, Dump  - 30 CY</v>
      </c>
    </row>
    <row r="878" spans="1:9">
      <c r="A878" s="205">
        <v>8600</v>
      </c>
      <c r="B878" s="201" t="s">
        <v>1426</v>
      </c>
      <c r="C878" s="200" t="s">
        <v>1314</v>
      </c>
      <c r="D878" s="202">
        <v>10.25</v>
      </c>
      <c r="E878" s="201" t="s">
        <v>1372</v>
      </c>
      <c r="F878" s="200"/>
      <c r="G878" s="200" t="s">
        <v>1429</v>
      </c>
      <c r="H878" s="199">
        <v>40436</v>
      </c>
      <c r="I878" s="197" t="str">
        <f t="shared" si="24"/>
        <v>Trailer, Equipment  - 30 ton</v>
      </c>
    </row>
    <row r="879" spans="1:9">
      <c r="A879" s="205">
        <v>8601</v>
      </c>
      <c r="B879" s="201" t="s">
        <v>1426</v>
      </c>
      <c r="C879" s="200" t="s">
        <v>1314</v>
      </c>
      <c r="D879" s="202">
        <v>12.5</v>
      </c>
      <c r="E879" s="201" t="s">
        <v>1372</v>
      </c>
      <c r="F879" s="200"/>
      <c r="G879" s="200" t="s">
        <v>1428</v>
      </c>
      <c r="H879" s="199">
        <v>40436</v>
      </c>
      <c r="I879" s="197" t="str">
        <f t="shared" si="24"/>
        <v>Trailer, Equipment  - 40 ton</v>
      </c>
    </row>
    <row r="880" spans="1:9">
      <c r="A880" s="205">
        <v>8602</v>
      </c>
      <c r="B880" s="201" t="s">
        <v>1426</v>
      </c>
      <c r="C880" s="200" t="s">
        <v>1314</v>
      </c>
      <c r="D880" s="202">
        <v>15</v>
      </c>
      <c r="E880" s="201" t="s">
        <v>1372</v>
      </c>
      <c r="F880" s="200"/>
      <c r="G880" s="200" t="s">
        <v>1427</v>
      </c>
      <c r="H880" s="199">
        <v>40436</v>
      </c>
      <c r="I880" s="197" t="str">
        <f t="shared" si="24"/>
        <v>Trailer, Equipment  - 60 ton</v>
      </c>
    </row>
    <row r="881" spans="1:9">
      <c r="A881" s="205">
        <v>8603</v>
      </c>
      <c r="B881" s="201" t="s">
        <v>1426</v>
      </c>
      <c r="C881" s="200" t="s">
        <v>1314</v>
      </c>
      <c r="D881" s="202">
        <v>25</v>
      </c>
      <c r="E881" s="201" t="s">
        <v>1372</v>
      </c>
      <c r="F881" s="200"/>
      <c r="G881" s="200" t="s">
        <v>1425</v>
      </c>
      <c r="H881" s="199">
        <v>40436</v>
      </c>
      <c r="I881" s="197" t="str">
        <f t="shared" si="24"/>
        <v>Trailer, Equipment  - 120 ton</v>
      </c>
    </row>
    <row r="882" spans="1:9">
      <c r="A882" s="205">
        <v>8640</v>
      </c>
      <c r="B882" s="201" t="s">
        <v>1422</v>
      </c>
      <c r="C882" s="200" t="s">
        <v>1314</v>
      </c>
      <c r="D882" s="202">
        <v>1.7</v>
      </c>
      <c r="E882" s="201" t="s">
        <v>1421</v>
      </c>
      <c r="F882" s="200"/>
      <c r="G882" s="200" t="s">
        <v>1424</v>
      </c>
      <c r="H882" s="199">
        <v>40436</v>
      </c>
      <c r="I882" s="197" t="str">
        <f t="shared" si="24"/>
        <v>Trailer, Office  - 8' x 24'</v>
      </c>
    </row>
    <row r="883" spans="1:9">
      <c r="A883" s="205">
        <v>8641</v>
      </c>
      <c r="B883" s="201" t="s">
        <v>1422</v>
      </c>
      <c r="C883" s="200" t="s">
        <v>1314</v>
      </c>
      <c r="D883" s="202">
        <v>1.75</v>
      </c>
      <c r="E883" s="201" t="s">
        <v>1421</v>
      </c>
      <c r="F883" s="200"/>
      <c r="G883" s="200" t="s">
        <v>1423</v>
      </c>
      <c r="H883" s="199">
        <v>40436</v>
      </c>
      <c r="I883" s="197" t="str">
        <f t="shared" si="24"/>
        <v>Trailer, Office  - 8' x 32'</v>
      </c>
    </row>
    <row r="884" spans="1:9">
      <c r="A884" s="205">
        <v>8642</v>
      </c>
      <c r="B884" s="201" t="s">
        <v>1422</v>
      </c>
      <c r="C884" s="200" t="s">
        <v>1314</v>
      </c>
      <c r="D884" s="202">
        <v>2.6</v>
      </c>
      <c r="E884" s="201" t="s">
        <v>1421</v>
      </c>
      <c r="F884" s="200"/>
      <c r="G884" s="200" t="s">
        <v>1420</v>
      </c>
      <c r="H884" s="199">
        <v>40436</v>
      </c>
      <c r="I884" s="197" t="str">
        <f t="shared" si="24"/>
        <v>Trailer, Office  - 10' x 32'</v>
      </c>
    </row>
    <row r="885" spans="1:9" ht="66">
      <c r="A885" s="205">
        <v>8610</v>
      </c>
      <c r="B885" s="201" t="s">
        <v>1417</v>
      </c>
      <c r="C885" s="200" t="s">
        <v>1314</v>
      </c>
      <c r="D885" s="202">
        <v>11</v>
      </c>
      <c r="E885" s="201" t="s">
        <v>1416</v>
      </c>
      <c r="F885" s="200"/>
      <c r="G885" s="200" t="s">
        <v>1347</v>
      </c>
      <c r="H885" s="199">
        <v>40436</v>
      </c>
      <c r="I885" s="197" t="str">
        <f t="shared" si="24"/>
        <v>Trailer, Water  - 4000 gal</v>
      </c>
    </row>
    <row r="886" spans="1:9" ht="66">
      <c r="A886" s="205">
        <v>8611</v>
      </c>
      <c r="B886" s="201" t="s">
        <v>1417</v>
      </c>
      <c r="C886" s="200" t="s">
        <v>1314</v>
      </c>
      <c r="D886" s="202">
        <v>14</v>
      </c>
      <c r="E886" s="201" t="s">
        <v>1416</v>
      </c>
      <c r="F886" s="200"/>
      <c r="G886" s="200" t="s">
        <v>1419</v>
      </c>
      <c r="H886" s="199">
        <v>40436</v>
      </c>
      <c r="I886" s="197" t="str">
        <f t="shared" si="24"/>
        <v>Trailer, Water  - 6000 gal</v>
      </c>
    </row>
    <row r="887" spans="1:9" ht="66">
      <c r="A887" s="205">
        <v>8612</v>
      </c>
      <c r="B887" s="201" t="s">
        <v>1417</v>
      </c>
      <c r="C887" s="200" t="s">
        <v>1314</v>
      </c>
      <c r="D887" s="202">
        <v>16.5</v>
      </c>
      <c r="E887" s="201" t="s">
        <v>1416</v>
      </c>
      <c r="F887" s="200"/>
      <c r="G887" s="200" t="s">
        <v>1418</v>
      </c>
      <c r="H887" s="199">
        <v>40436</v>
      </c>
      <c r="I887" s="197" t="str">
        <f t="shared" si="24"/>
        <v>Trailer, Water  - 10000 gal</v>
      </c>
    </row>
    <row r="888" spans="1:9" ht="66">
      <c r="A888" s="205">
        <v>8613</v>
      </c>
      <c r="B888" s="201" t="s">
        <v>1417</v>
      </c>
      <c r="C888" s="200" t="s">
        <v>1314</v>
      </c>
      <c r="D888" s="202">
        <v>20.5</v>
      </c>
      <c r="E888" s="201" t="s">
        <v>1416</v>
      </c>
      <c r="F888" s="200"/>
      <c r="G888" s="200" t="s">
        <v>1415</v>
      </c>
      <c r="H888" s="199">
        <v>40436</v>
      </c>
      <c r="I888" s="197" t="str">
        <f t="shared" si="24"/>
        <v>Trailer, Water  - 14000 gal</v>
      </c>
    </row>
    <row r="889" spans="1:9" ht="52.8">
      <c r="A889" s="205">
        <v>8650</v>
      </c>
      <c r="B889" s="201" t="s">
        <v>1413</v>
      </c>
      <c r="C889" s="200" t="s">
        <v>1314</v>
      </c>
      <c r="D889" s="202">
        <v>11.75</v>
      </c>
      <c r="E889" s="201" t="s">
        <v>1412</v>
      </c>
      <c r="F889" s="200" t="s">
        <v>1414</v>
      </c>
      <c r="G889" s="200"/>
      <c r="H889" s="199">
        <v>40436</v>
      </c>
      <c r="I889" s="197" t="str">
        <f>B889&amp;" "&amp;F889&amp;" HP"</f>
        <v>Trencher to 40 HP</v>
      </c>
    </row>
    <row r="890" spans="1:9" ht="52.8">
      <c r="A890" s="205">
        <v>8651</v>
      </c>
      <c r="B890" s="201" t="s">
        <v>1413</v>
      </c>
      <c r="C890" s="200" t="s">
        <v>1314</v>
      </c>
      <c r="D890" s="202">
        <v>25</v>
      </c>
      <c r="E890" s="201" t="s">
        <v>1412</v>
      </c>
      <c r="F890" s="200" t="s">
        <v>1411</v>
      </c>
      <c r="G890" s="200"/>
      <c r="H890" s="199">
        <v>40436</v>
      </c>
      <c r="I890" s="197" t="str">
        <f>B890&amp;" "&amp;F890&amp;" HP"</f>
        <v>Trencher to 85 HP</v>
      </c>
    </row>
    <row r="891" spans="1:9">
      <c r="A891" s="205">
        <v>8290</v>
      </c>
      <c r="B891" s="201" t="s">
        <v>1410</v>
      </c>
      <c r="C891" s="200" t="s">
        <v>1314</v>
      </c>
      <c r="D891" s="202">
        <v>4.5</v>
      </c>
      <c r="E891" s="201" t="s">
        <v>1409</v>
      </c>
      <c r="F891" s="200" t="s">
        <v>1408</v>
      </c>
      <c r="G891" s="200" t="s">
        <v>1407</v>
      </c>
      <c r="H891" s="199">
        <v>40436</v>
      </c>
      <c r="I891" s="197" t="str">
        <f t="shared" ref="I891:I897" si="25">B891&amp;" "&amp;F891&amp;" HP"&amp;"/"&amp;G891</f>
        <v>Trowel, Concrete to 12 HP/48 in</v>
      </c>
    </row>
    <row r="892" spans="1:9">
      <c r="A892" s="205">
        <v>8680</v>
      </c>
      <c r="B892" s="201" t="s">
        <v>1406</v>
      </c>
      <c r="C892" s="200" t="s">
        <v>1314</v>
      </c>
      <c r="D892" s="202">
        <v>75</v>
      </c>
      <c r="E892" s="201" t="s">
        <v>1405</v>
      </c>
      <c r="F892" s="200" t="s">
        <v>1379</v>
      </c>
      <c r="G892" s="200" t="s">
        <v>1404</v>
      </c>
      <c r="H892" s="199">
        <v>40436</v>
      </c>
      <c r="I892" s="197" t="str">
        <f t="shared" si="25"/>
        <v>Truck, Concrete Mixer to 300 HP/13 CY</v>
      </c>
    </row>
    <row r="893" spans="1:9">
      <c r="A893" s="205">
        <v>8720</v>
      </c>
      <c r="B893" s="201" t="s">
        <v>1399</v>
      </c>
      <c r="C893" s="200" t="s">
        <v>1314</v>
      </c>
      <c r="D893" s="202">
        <v>35</v>
      </c>
      <c r="E893" s="201" t="s">
        <v>1396</v>
      </c>
      <c r="F893" s="200" t="s">
        <v>1361</v>
      </c>
      <c r="G893" s="200" t="s">
        <v>1403</v>
      </c>
      <c r="H893" s="199">
        <v>40436</v>
      </c>
      <c r="I893" s="197" t="str">
        <f t="shared" si="25"/>
        <v>Truck, Dump to 220 HP/8 CY</v>
      </c>
    </row>
    <row r="894" spans="1:9">
      <c r="A894" s="205">
        <v>8721</v>
      </c>
      <c r="B894" s="201" t="s">
        <v>1399</v>
      </c>
      <c r="C894" s="200" t="s">
        <v>1314</v>
      </c>
      <c r="D894" s="204">
        <v>45</v>
      </c>
      <c r="E894" s="201" t="s">
        <v>1396</v>
      </c>
      <c r="F894" s="200" t="s">
        <v>1402</v>
      </c>
      <c r="G894" s="200" t="s">
        <v>1401</v>
      </c>
      <c r="H894" s="199">
        <v>40436</v>
      </c>
      <c r="I894" s="197" t="str">
        <f t="shared" si="25"/>
        <v>Truck, Dump to 320 HP/10 CY</v>
      </c>
    </row>
    <row r="895" spans="1:9">
      <c r="A895" s="205">
        <v>8722</v>
      </c>
      <c r="B895" s="201" t="s">
        <v>1399</v>
      </c>
      <c r="C895" s="200" t="s">
        <v>1314</v>
      </c>
      <c r="D895" s="202">
        <v>60</v>
      </c>
      <c r="E895" s="201" t="s">
        <v>1396</v>
      </c>
      <c r="F895" s="200" t="s">
        <v>1354</v>
      </c>
      <c r="G895" s="200" t="s">
        <v>1400</v>
      </c>
      <c r="H895" s="199">
        <v>40436</v>
      </c>
      <c r="I895" s="197" t="str">
        <f t="shared" si="25"/>
        <v>Truck, Dump to 400 HP/12 CY</v>
      </c>
    </row>
    <row r="896" spans="1:9">
      <c r="A896" s="205">
        <v>8723</v>
      </c>
      <c r="B896" s="201" t="s">
        <v>1399</v>
      </c>
      <c r="C896" s="200" t="s">
        <v>1314</v>
      </c>
      <c r="D896" s="202">
        <v>65</v>
      </c>
      <c r="E896" s="201" t="s">
        <v>1396</v>
      </c>
      <c r="F896" s="200" t="s">
        <v>1354</v>
      </c>
      <c r="G896" s="200" t="s">
        <v>1398</v>
      </c>
      <c r="H896" s="199">
        <v>40436</v>
      </c>
      <c r="I896" s="197" t="str">
        <f t="shared" si="25"/>
        <v>Truck, Dump to 400 HP/18 CY</v>
      </c>
    </row>
    <row r="897" spans="1:9">
      <c r="A897" s="205">
        <v>8724</v>
      </c>
      <c r="B897" s="201" t="s">
        <v>1397</v>
      </c>
      <c r="C897" s="200" t="s">
        <v>1314</v>
      </c>
      <c r="D897" s="202">
        <v>105</v>
      </c>
      <c r="E897" s="201" t="s">
        <v>1396</v>
      </c>
      <c r="F897" s="200" t="s">
        <v>1395</v>
      </c>
      <c r="G897" s="200" t="s">
        <v>1394</v>
      </c>
      <c r="H897" s="199">
        <v>40436</v>
      </c>
      <c r="I897" s="197" t="str">
        <f t="shared" si="25"/>
        <v>Truck, Dump, Off Highway to 450 HP/28 CY</v>
      </c>
    </row>
    <row r="898" spans="1:9">
      <c r="A898" s="205">
        <v>8690</v>
      </c>
      <c r="B898" s="201" t="s">
        <v>1390</v>
      </c>
      <c r="C898" s="200" t="s">
        <v>1314</v>
      </c>
      <c r="D898" s="202">
        <v>70</v>
      </c>
      <c r="E898" s="201" t="s">
        <v>1389</v>
      </c>
      <c r="F898" s="200"/>
      <c r="G898" s="200" t="s">
        <v>1393</v>
      </c>
      <c r="H898" s="199">
        <v>40436</v>
      </c>
      <c r="I898" s="197" t="str">
        <f t="shared" ref="I898:I903" si="26">B898&amp;" "&amp;" - "&amp;F898&amp;G898</f>
        <v>Truck, Fire  - 1000 gpm</v>
      </c>
    </row>
    <row r="899" spans="1:9">
      <c r="A899" s="205">
        <v>8691</v>
      </c>
      <c r="B899" s="201" t="s">
        <v>1390</v>
      </c>
      <c r="C899" s="200" t="s">
        <v>1314</v>
      </c>
      <c r="D899" s="202">
        <v>80</v>
      </c>
      <c r="E899" s="201" t="s">
        <v>1389</v>
      </c>
      <c r="F899" s="200"/>
      <c r="G899" s="200" t="s">
        <v>1392</v>
      </c>
      <c r="H899" s="199">
        <v>40436</v>
      </c>
      <c r="I899" s="197" t="str">
        <f t="shared" si="26"/>
        <v>Truck, Fire  - 1250 gpm</v>
      </c>
    </row>
    <row r="900" spans="1:9">
      <c r="A900" s="205">
        <v>8692</v>
      </c>
      <c r="B900" s="201" t="s">
        <v>1390</v>
      </c>
      <c r="C900" s="200" t="s">
        <v>1314</v>
      </c>
      <c r="D900" s="202">
        <v>85</v>
      </c>
      <c r="E900" s="201" t="s">
        <v>1389</v>
      </c>
      <c r="F900" s="200"/>
      <c r="G900" s="200" t="s">
        <v>1391</v>
      </c>
      <c r="H900" s="199">
        <v>40436</v>
      </c>
      <c r="I900" s="197" t="str">
        <f t="shared" si="26"/>
        <v>Truck, Fire  - 1500 gpm</v>
      </c>
    </row>
    <row r="901" spans="1:9">
      <c r="A901" s="205">
        <v>8693</v>
      </c>
      <c r="B901" s="201" t="s">
        <v>1390</v>
      </c>
      <c r="C901" s="200" t="s">
        <v>1314</v>
      </c>
      <c r="D901" s="202">
        <v>90</v>
      </c>
      <c r="E901" s="201" t="s">
        <v>1389</v>
      </c>
      <c r="F901" s="200"/>
      <c r="G901" s="200" t="s">
        <v>1388</v>
      </c>
      <c r="H901" s="199">
        <v>40436</v>
      </c>
      <c r="I901" s="197" t="str">
        <f t="shared" si="26"/>
        <v>Truck, Fire  - 2000 gpm</v>
      </c>
    </row>
    <row r="902" spans="1:9">
      <c r="A902" s="205">
        <v>8694</v>
      </c>
      <c r="B902" s="201" t="s">
        <v>1386</v>
      </c>
      <c r="C902" s="200" t="s">
        <v>1314</v>
      </c>
      <c r="D902" s="202">
        <v>125</v>
      </c>
      <c r="E902" s="201" t="s">
        <v>1385</v>
      </c>
      <c r="F902" s="200"/>
      <c r="G902" s="200" t="s">
        <v>1387</v>
      </c>
      <c r="H902" s="199">
        <v>40436</v>
      </c>
      <c r="I902" s="197" t="str">
        <f t="shared" si="26"/>
        <v>Truck, Fire Ladder  - 75 ft</v>
      </c>
    </row>
    <row r="903" spans="1:9">
      <c r="A903" s="205">
        <v>8695</v>
      </c>
      <c r="B903" s="201" t="s">
        <v>1386</v>
      </c>
      <c r="C903" s="200" t="s">
        <v>1314</v>
      </c>
      <c r="D903" s="202">
        <v>150</v>
      </c>
      <c r="E903" s="201" t="s">
        <v>1385</v>
      </c>
      <c r="F903" s="200"/>
      <c r="G903" s="200" t="s">
        <v>1384</v>
      </c>
      <c r="H903" s="199">
        <v>40436</v>
      </c>
      <c r="I903" s="197" t="str">
        <f t="shared" si="26"/>
        <v>Truck, Fire Ladder  - 150 ft</v>
      </c>
    </row>
    <row r="904" spans="1:9">
      <c r="A904" s="205">
        <v>8700</v>
      </c>
      <c r="B904" s="201" t="s">
        <v>1378</v>
      </c>
      <c r="C904" s="200" t="s">
        <v>1314</v>
      </c>
      <c r="D904" s="202">
        <v>20</v>
      </c>
      <c r="E904" s="201" t="s">
        <v>1377</v>
      </c>
      <c r="F904" s="200" t="s">
        <v>1383</v>
      </c>
      <c r="G904" s="200" t="s">
        <v>1382</v>
      </c>
      <c r="H904" s="199">
        <v>40436</v>
      </c>
      <c r="I904" s="197" t="str">
        <f t="shared" ref="I904:I909" si="27">B904&amp;" "&amp;F904&amp;" HP"&amp;"/"&amp;G904</f>
        <v>Truck, Flatbed to 200 HP/15000 lb</v>
      </c>
    </row>
    <row r="905" spans="1:9">
      <c r="A905" s="205">
        <v>8701</v>
      </c>
      <c r="B905" s="201" t="s">
        <v>1378</v>
      </c>
      <c r="C905" s="200" t="s">
        <v>1314</v>
      </c>
      <c r="D905" s="202">
        <v>22</v>
      </c>
      <c r="E905" s="201" t="s">
        <v>1377</v>
      </c>
      <c r="F905" s="200" t="s">
        <v>1381</v>
      </c>
      <c r="G905" s="200" t="s">
        <v>1380</v>
      </c>
      <c r="H905" s="199">
        <v>40436</v>
      </c>
      <c r="I905" s="197" t="str">
        <f t="shared" si="27"/>
        <v>Truck, Flatbed to 275 HP/25000 lb</v>
      </c>
    </row>
    <row r="906" spans="1:9">
      <c r="A906" s="205">
        <v>8702</v>
      </c>
      <c r="B906" s="201" t="s">
        <v>1378</v>
      </c>
      <c r="C906" s="200" t="s">
        <v>1314</v>
      </c>
      <c r="D906" s="202">
        <v>25</v>
      </c>
      <c r="E906" s="201" t="s">
        <v>1377</v>
      </c>
      <c r="F906" s="200" t="s">
        <v>1379</v>
      </c>
      <c r="G906" s="200" t="s">
        <v>1360</v>
      </c>
      <c r="H906" s="199">
        <v>40436</v>
      </c>
      <c r="I906" s="197" t="str">
        <f t="shared" si="27"/>
        <v>Truck, Flatbed to 300 HP/30000 lb</v>
      </c>
    </row>
    <row r="907" spans="1:9">
      <c r="A907" s="205">
        <v>8703</v>
      </c>
      <c r="B907" s="201" t="s">
        <v>1378</v>
      </c>
      <c r="C907" s="200" t="s">
        <v>1314</v>
      </c>
      <c r="D907" s="202">
        <v>43</v>
      </c>
      <c r="E907" s="201" t="s">
        <v>1377</v>
      </c>
      <c r="F907" s="200" t="s">
        <v>1376</v>
      </c>
      <c r="G907" s="200" t="s">
        <v>1357</v>
      </c>
      <c r="H907" s="199">
        <v>40436</v>
      </c>
      <c r="I907" s="197" t="str">
        <f t="shared" si="27"/>
        <v>Truck, Flatbed to 380 HP/45000 lb</v>
      </c>
    </row>
    <row r="908" spans="1:9">
      <c r="A908" s="205">
        <v>8730</v>
      </c>
      <c r="B908" s="201" t="s">
        <v>1373</v>
      </c>
      <c r="C908" s="200" t="s">
        <v>1314</v>
      </c>
      <c r="D908" s="202">
        <v>47</v>
      </c>
      <c r="E908" s="201" t="s">
        <v>1372</v>
      </c>
      <c r="F908" s="200" t="s">
        <v>1375</v>
      </c>
      <c r="G908" s="200" t="s">
        <v>1374</v>
      </c>
      <c r="H908" s="199">
        <v>40436</v>
      </c>
      <c r="I908" s="197" t="str">
        <f t="shared" si="27"/>
        <v>Truck, Garbage to 255 HP/25 CY</v>
      </c>
    </row>
    <row r="909" spans="1:9">
      <c r="A909" s="205">
        <v>8731</v>
      </c>
      <c r="B909" s="201" t="s">
        <v>1373</v>
      </c>
      <c r="C909" s="200" t="s">
        <v>1314</v>
      </c>
      <c r="D909" s="202">
        <v>55</v>
      </c>
      <c r="E909" s="201" t="s">
        <v>1372</v>
      </c>
      <c r="F909" s="200" t="s">
        <v>1371</v>
      </c>
      <c r="G909" s="200" t="s">
        <v>1370</v>
      </c>
      <c r="H909" s="199">
        <v>40436</v>
      </c>
      <c r="I909" s="197" t="str">
        <f t="shared" si="27"/>
        <v>Truck, Garbage to 325 HP/32 CY</v>
      </c>
    </row>
    <row r="910" spans="1:9">
      <c r="A910" s="205">
        <v>8800</v>
      </c>
      <c r="B910" s="201" t="s">
        <v>1363</v>
      </c>
      <c r="C910" s="200" t="s">
        <v>1369</v>
      </c>
      <c r="D910" s="202">
        <v>0.5</v>
      </c>
      <c r="E910" s="201" t="s">
        <v>1368</v>
      </c>
      <c r="F910" s="200"/>
      <c r="G910" s="200"/>
      <c r="H910" s="199">
        <v>40436</v>
      </c>
      <c r="I910" s="197" t="str">
        <f>B910&amp;" - "&amp;E910</f>
        <v>Truck, Pickup - Transporting people</v>
      </c>
    </row>
    <row r="911" spans="1:9">
      <c r="A911" s="205">
        <v>8801</v>
      </c>
      <c r="B911" s="201" t="s">
        <v>1363</v>
      </c>
      <c r="C911" s="200" t="s">
        <v>1314</v>
      </c>
      <c r="D911" s="202">
        <v>14</v>
      </c>
      <c r="E911" s="201"/>
      <c r="F911" s="200"/>
      <c r="G911" s="200" t="s">
        <v>1367</v>
      </c>
      <c r="H911" s="199">
        <v>40436</v>
      </c>
      <c r="I911" s="197" t="str">
        <f>B911&amp;" "&amp;" - "&amp;F911&amp;G911</f>
        <v>Truck, Pickup  - ½ ton</v>
      </c>
    </row>
    <row r="912" spans="1:9">
      <c r="A912" s="205">
        <v>8802</v>
      </c>
      <c r="B912" s="201" t="s">
        <v>1363</v>
      </c>
      <c r="C912" s="200" t="s">
        <v>1314</v>
      </c>
      <c r="D912" s="202">
        <v>20</v>
      </c>
      <c r="E912" s="201"/>
      <c r="F912" s="200"/>
      <c r="G912" s="200" t="s">
        <v>1366</v>
      </c>
      <c r="H912" s="199">
        <v>40436</v>
      </c>
      <c r="I912" s="197" t="str">
        <f>B912&amp;" "&amp;" - "&amp;F912&amp;G912</f>
        <v>Truck, Pickup  - 1 ton</v>
      </c>
    </row>
    <row r="913" spans="1:9">
      <c r="A913" s="205">
        <v>8803</v>
      </c>
      <c r="B913" s="201" t="s">
        <v>1363</v>
      </c>
      <c r="C913" s="200" t="s">
        <v>1314</v>
      </c>
      <c r="D913" s="202">
        <v>22</v>
      </c>
      <c r="E913" s="201"/>
      <c r="F913" s="200"/>
      <c r="G913" s="200" t="s">
        <v>1365</v>
      </c>
      <c r="H913" s="199">
        <v>40436</v>
      </c>
      <c r="I913" s="197" t="str">
        <f>B913&amp;" "&amp;" - "&amp;F913&amp;G913</f>
        <v>Truck, Pickup  - 1¼ ton</v>
      </c>
    </row>
    <row r="914" spans="1:9">
      <c r="A914" s="205">
        <v>8804</v>
      </c>
      <c r="B914" s="201" t="s">
        <v>1363</v>
      </c>
      <c r="C914" s="200" t="s">
        <v>1314</v>
      </c>
      <c r="D914" s="202">
        <v>25</v>
      </c>
      <c r="E914" s="201"/>
      <c r="F914" s="200"/>
      <c r="G914" s="200" t="s">
        <v>1364</v>
      </c>
      <c r="H914" s="199">
        <v>40436</v>
      </c>
      <c r="I914" s="197" t="str">
        <f>B914&amp;" "&amp;" - "&amp;F914&amp;G914</f>
        <v>Truck, Pickup  - 1½ ton</v>
      </c>
    </row>
    <row r="915" spans="1:9">
      <c r="A915" s="205">
        <v>8805</v>
      </c>
      <c r="B915" s="201" t="s">
        <v>1363</v>
      </c>
      <c r="C915" s="200" t="s">
        <v>1314</v>
      </c>
      <c r="D915" s="202">
        <v>30</v>
      </c>
      <c r="E915" s="201"/>
      <c r="F915" s="200"/>
      <c r="G915" s="200" t="s">
        <v>1362</v>
      </c>
      <c r="H915" s="199">
        <v>40436</v>
      </c>
      <c r="I915" s="197" t="str">
        <f>B915&amp;" "&amp;" - "&amp;F915&amp;G915</f>
        <v>Truck, Pickup  - 1¾ ton</v>
      </c>
    </row>
    <row r="916" spans="1:9">
      <c r="A916" s="205">
        <v>8790</v>
      </c>
      <c r="B916" s="201" t="s">
        <v>1356</v>
      </c>
      <c r="C916" s="200" t="s">
        <v>1314</v>
      </c>
      <c r="D916" s="202">
        <v>32</v>
      </c>
      <c r="E916" s="201" t="s">
        <v>1359</v>
      </c>
      <c r="F916" s="200" t="s">
        <v>1361</v>
      </c>
      <c r="G916" s="200" t="s">
        <v>1360</v>
      </c>
      <c r="H916" s="199">
        <v>40436</v>
      </c>
      <c r="I916" s="197" t="str">
        <f>B916&amp;" "&amp;" - "&amp;E916&amp;" "&amp;F916&amp;" HP"&amp;"/"&amp;G917</f>
        <v>Truck, Tractor  - 4 x 2 to 220 HP/45000 lb</v>
      </c>
    </row>
    <row r="917" spans="1:9">
      <c r="A917" s="205">
        <v>8791</v>
      </c>
      <c r="B917" s="201" t="s">
        <v>1356</v>
      </c>
      <c r="C917" s="200" t="s">
        <v>1314</v>
      </c>
      <c r="D917" s="202">
        <v>45</v>
      </c>
      <c r="E917" s="201" t="s">
        <v>1359</v>
      </c>
      <c r="F917" s="200" t="s">
        <v>1358</v>
      </c>
      <c r="G917" s="200" t="s">
        <v>1357</v>
      </c>
      <c r="H917" s="199">
        <v>40436</v>
      </c>
      <c r="I917" s="197" t="str">
        <f>B917&amp;" "&amp;" - "&amp;E917&amp;" "&amp;F917&amp;" HP"&amp;"/"&amp;G918</f>
        <v>Truck, Tractor  - 4 x 2 to 310 HP/50000 lb</v>
      </c>
    </row>
    <row r="918" spans="1:9">
      <c r="A918" s="205">
        <v>8792</v>
      </c>
      <c r="B918" s="201" t="s">
        <v>1356</v>
      </c>
      <c r="C918" s="200" t="s">
        <v>1314</v>
      </c>
      <c r="D918" s="204">
        <v>55</v>
      </c>
      <c r="E918" s="201" t="s">
        <v>1355</v>
      </c>
      <c r="F918" s="200" t="s">
        <v>1354</v>
      </c>
      <c r="G918" s="200" t="s">
        <v>1353</v>
      </c>
      <c r="H918" s="199">
        <v>40436</v>
      </c>
      <c r="I918" s="197" t="str">
        <f>B918&amp;" "&amp;" - "&amp;E918&amp;" "&amp;F918&amp;" HP"&amp;"/"&amp;G919</f>
        <v>Truck, Tractor  - 6 x 4 to 400 HP/2500 gal</v>
      </c>
    </row>
    <row r="919" spans="1:9" ht="39.6">
      <c r="A919" s="205">
        <v>8780</v>
      </c>
      <c r="B919" s="201" t="s">
        <v>1350</v>
      </c>
      <c r="C919" s="200" t="s">
        <v>1314</v>
      </c>
      <c r="D919" s="204">
        <v>31</v>
      </c>
      <c r="E919" s="201" t="s">
        <v>1349</v>
      </c>
      <c r="F919" s="200" t="s">
        <v>1352</v>
      </c>
      <c r="G919" s="200" t="s">
        <v>1351</v>
      </c>
      <c r="H919" s="199">
        <v>40436</v>
      </c>
      <c r="I919" s="197" t="str">
        <f>B919&amp;" "&amp;F919&amp;" HP"&amp;"/"&amp;G919</f>
        <v>Truck, Water to 175 HP/2500 gal</v>
      </c>
    </row>
    <row r="920" spans="1:9" ht="39.6">
      <c r="A920" s="205">
        <v>8781</v>
      </c>
      <c r="B920" s="201" t="s">
        <v>1350</v>
      </c>
      <c r="C920" s="200" t="s">
        <v>1314</v>
      </c>
      <c r="D920" s="202">
        <v>42</v>
      </c>
      <c r="E920" s="201" t="s">
        <v>1349</v>
      </c>
      <c r="F920" s="200" t="s">
        <v>1348</v>
      </c>
      <c r="G920" s="200" t="s">
        <v>1347</v>
      </c>
      <c r="H920" s="199">
        <v>40436</v>
      </c>
      <c r="I920" s="197" t="str">
        <f>B920&amp;" "&amp;F920&amp;" HP"&amp;"/"&amp;G920</f>
        <v>Truck, Water to 250 HP/4000 gal</v>
      </c>
    </row>
    <row r="921" spans="1:9">
      <c r="A921" s="205">
        <v>8620</v>
      </c>
      <c r="B921" s="201" t="s">
        <v>1343</v>
      </c>
      <c r="C921" s="200" t="s">
        <v>1314</v>
      </c>
      <c r="D921" s="202">
        <v>85</v>
      </c>
      <c r="E921" s="201"/>
      <c r="F921" s="200" t="s">
        <v>1346</v>
      </c>
      <c r="G921" s="200"/>
      <c r="H921" s="199">
        <v>40436</v>
      </c>
      <c r="I921" s="197" t="str">
        <f t="shared" ref="I921:I931" si="28">B921&amp;" "&amp;F921&amp;" HP"</f>
        <v>Tub Grinder to 440 HP</v>
      </c>
    </row>
    <row r="922" spans="1:9">
      <c r="A922" s="205">
        <v>8621</v>
      </c>
      <c r="B922" s="201" t="s">
        <v>1343</v>
      </c>
      <c r="C922" s="200" t="s">
        <v>1314</v>
      </c>
      <c r="D922" s="202">
        <v>120</v>
      </c>
      <c r="E922" s="201"/>
      <c r="F922" s="200" t="s">
        <v>1345</v>
      </c>
      <c r="G922" s="200"/>
      <c r="H922" s="199">
        <v>40436</v>
      </c>
      <c r="I922" s="197" t="str">
        <f t="shared" si="28"/>
        <v>Tub Grinder to 630 HP</v>
      </c>
    </row>
    <row r="923" spans="1:9">
      <c r="A923" s="205">
        <v>8622</v>
      </c>
      <c r="B923" s="201" t="s">
        <v>1343</v>
      </c>
      <c r="C923" s="200" t="s">
        <v>1314</v>
      </c>
      <c r="D923" s="202">
        <v>150</v>
      </c>
      <c r="E923" s="201"/>
      <c r="F923" s="200" t="s">
        <v>1344</v>
      </c>
      <c r="G923" s="200"/>
      <c r="H923" s="199">
        <v>40436</v>
      </c>
      <c r="I923" s="197" t="str">
        <f t="shared" si="28"/>
        <v>Tub Grinder to 760 HP</v>
      </c>
    </row>
    <row r="924" spans="1:9">
      <c r="A924" s="205">
        <v>8623</v>
      </c>
      <c r="B924" s="201" t="s">
        <v>1343</v>
      </c>
      <c r="C924" s="200" t="s">
        <v>1314</v>
      </c>
      <c r="D924" s="202">
        <v>270</v>
      </c>
      <c r="E924" s="201"/>
      <c r="F924" s="200" t="s">
        <v>1342</v>
      </c>
      <c r="G924" s="200"/>
      <c r="H924" s="199">
        <v>40436</v>
      </c>
      <c r="I924" s="197" t="str">
        <f t="shared" si="28"/>
        <v>Tub Grinder to 1000 HP</v>
      </c>
    </row>
    <row r="925" spans="1:9">
      <c r="A925" s="205">
        <v>8753</v>
      </c>
      <c r="B925" s="206" t="s">
        <v>1341</v>
      </c>
      <c r="C925" s="200" t="s">
        <v>1314</v>
      </c>
      <c r="D925" s="202">
        <v>3</v>
      </c>
      <c r="E925" s="201"/>
      <c r="F925" s="200" t="s">
        <v>1340</v>
      </c>
      <c r="G925" s="200"/>
      <c r="H925" s="199">
        <v>40436</v>
      </c>
      <c r="I925" s="197" t="str">
        <f t="shared" si="28"/>
        <v>Vehicle, Recreational to 10 HP</v>
      </c>
    </row>
    <row r="926" spans="1:9">
      <c r="A926" s="205">
        <v>8750</v>
      </c>
      <c r="B926" s="201" t="s">
        <v>1339</v>
      </c>
      <c r="C926" s="200" t="s">
        <v>1314</v>
      </c>
      <c r="D926" s="202">
        <v>7</v>
      </c>
      <c r="E926" s="201"/>
      <c r="F926" s="200" t="s">
        <v>1338</v>
      </c>
      <c r="G926" s="200"/>
      <c r="H926" s="199">
        <v>40436</v>
      </c>
      <c r="I926" s="197" t="str">
        <f t="shared" si="28"/>
        <v>Vehicle, Small to 30 HP</v>
      </c>
    </row>
    <row r="927" spans="1:9">
      <c r="A927" s="205">
        <v>8761</v>
      </c>
      <c r="B927" s="201" t="s">
        <v>1337</v>
      </c>
      <c r="C927" s="200" t="s">
        <v>1314</v>
      </c>
      <c r="D927" s="202">
        <v>1.1499999999999999</v>
      </c>
      <c r="E927" s="201"/>
      <c r="F927" s="200" t="s">
        <v>1336</v>
      </c>
      <c r="G927" s="200"/>
      <c r="H927" s="199">
        <v>40436</v>
      </c>
      <c r="I927" s="197" t="str">
        <f t="shared" si="28"/>
        <v>Vibrator, Concrete to 4 HP</v>
      </c>
    </row>
    <row r="928" spans="1:9" ht="39.6">
      <c r="A928" s="205">
        <v>8770</v>
      </c>
      <c r="B928" s="201" t="s">
        <v>1315</v>
      </c>
      <c r="C928" s="200" t="s">
        <v>1314</v>
      </c>
      <c r="D928" s="202">
        <v>5</v>
      </c>
      <c r="E928" s="201" t="s">
        <v>1332</v>
      </c>
      <c r="F928" s="200" t="s">
        <v>1335</v>
      </c>
      <c r="G928" s="200"/>
      <c r="H928" s="199">
        <v>40436</v>
      </c>
      <c r="I928" s="197" t="str">
        <f t="shared" si="28"/>
        <v>Welder, Portable to 16 HP</v>
      </c>
    </row>
    <row r="929" spans="1:9" ht="39.6">
      <c r="A929" s="205">
        <v>8771</v>
      </c>
      <c r="B929" s="201" t="s">
        <v>1315</v>
      </c>
      <c r="C929" s="200" t="s">
        <v>1314</v>
      </c>
      <c r="D929" s="202">
        <v>11.5</v>
      </c>
      <c r="E929" s="201" t="s">
        <v>1332</v>
      </c>
      <c r="F929" s="200" t="s">
        <v>1334</v>
      </c>
      <c r="G929" s="200"/>
      <c r="H929" s="199">
        <v>40436</v>
      </c>
      <c r="I929" s="197" t="str">
        <f t="shared" si="28"/>
        <v>Welder, Portable to 34 HP</v>
      </c>
    </row>
    <row r="930" spans="1:9" ht="39.6">
      <c r="A930" s="205">
        <v>8772</v>
      </c>
      <c r="B930" s="201" t="s">
        <v>1315</v>
      </c>
      <c r="C930" s="200" t="s">
        <v>1314</v>
      </c>
      <c r="D930" s="202">
        <v>16</v>
      </c>
      <c r="E930" s="201" t="s">
        <v>1332</v>
      </c>
      <c r="F930" s="200" t="s">
        <v>1333</v>
      </c>
      <c r="G930" s="200"/>
      <c r="H930" s="199">
        <v>40436</v>
      </c>
      <c r="I930" s="197" t="str">
        <f t="shared" si="28"/>
        <v>Welder, Portable to 50 HP</v>
      </c>
    </row>
    <row r="931" spans="1:9" ht="39.6">
      <c r="A931" s="205">
        <v>8773</v>
      </c>
      <c r="B931" s="201" t="s">
        <v>1315</v>
      </c>
      <c r="C931" s="200" t="s">
        <v>1314</v>
      </c>
      <c r="D931" s="202">
        <v>22</v>
      </c>
      <c r="E931" s="201" t="s">
        <v>1332</v>
      </c>
      <c r="F931" s="200" t="s">
        <v>1331</v>
      </c>
      <c r="G931" s="200"/>
      <c r="H931" s="199">
        <v>40436</v>
      </c>
      <c r="I931" s="197" t="str">
        <f t="shared" si="28"/>
        <v>Welder, Portable to 80 HP</v>
      </c>
    </row>
    <row r="932" spans="1:9" ht="39.6">
      <c r="A932" s="205">
        <v>8810</v>
      </c>
      <c r="B932" s="206" t="s">
        <v>1330</v>
      </c>
      <c r="C932" s="200" t="s">
        <v>1314</v>
      </c>
      <c r="D932" s="204">
        <v>0</v>
      </c>
      <c r="E932" s="201" t="s">
        <v>1324</v>
      </c>
      <c r="F932" s="200"/>
      <c r="G932" s="200"/>
      <c r="H932" s="199">
        <v>39569</v>
      </c>
      <c r="I932" s="197" t="str">
        <f>B932&amp;" "&amp;G932</f>
        <v xml:space="preserve">Truck, Bucket </v>
      </c>
    </row>
    <row r="933" spans="1:9" ht="26.4">
      <c r="A933" s="205">
        <v>8811</v>
      </c>
      <c r="B933" s="201" t="s">
        <v>1329</v>
      </c>
      <c r="C933" s="200" t="s">
        <v>1314</v>
      </c>
      <c r="D933" s="204">
        <v>0</v>
      </c>
      <c r="E933" s="201" t="s">
        <v>1328</v>
      </c>
      <c r="F933" s="200"/>
      <c r="G933" s="200"/>
      <c r="H933" s="199">
        <v>39569</v>
      </c>
      <c r="I933" s="197" t="str">
        <f>B933&amp;" "&amp;G933</f>
        <v xml:space="preserve">Truck, Cleaning </v>
      </c>
    </row>
    <row r="934" spans="1:9" ht="39.6">
      <c r="A934" s="205">
        <v>8812</v>
      </c>
      <c r="B934" s="206" t="s">
        <v>1327</v>
      </c>
      <c r="C934" s="200" t="s">
        <v>1314</v>
      </c>
      <c r="D934" s="204">
        <v>0</v>
      </c>
      <c r="E934" s="201" t="s">
        <v>1326</v>
      </c>
      <c r="F934" s="200"/>
      <c r="G934" s="200"/>
      <c r="H934" s="199">
        <v>39569</v>
      </c>
      <c r="I934" s="197" t="str">
        <f>B934&amp;" "&amp;G934</f>
        <v xml:space="preserve">Truck, Knuckle Boom </v>
      </c>
    </row>
    <row r="935" spans="1:9" ht="39.6">
      <c r="A935" s="205">
        <v>8813</v>
      </c>
      <c r="B935" s="201" t="s">
        <v>1325</v>
      </c>
      <c r="C935" s="200" t="s">
        <v>1314</v>
      </c>
      <c r="D935" s="204">
        <v>0</v>
      </c>
      <c r="E935" s="201" t="s">
        <v>1324</v>
      </c>
      <c r="F935" s="200"/>
      <c r="G935" s="200"/>
      <c r="H935" s="199">
        <v>39569</v>
      </c>
      <c r="I935" s="197" t="str">
        <f>B935&amp;" "&amp;G935</f>
        <v xml:space="preserve">Truck, Ladder </v>
      </c>
    </row>
    <row r="936" spans="1:9" ht="39.6">
      <c r="A936" s="205">
        <v>8814</v>
      </c>
      <c r="B936" s="201" t="s">
        <v>1323</v>
      </c>
      <c r="C936" s="200" t="s">
        <v>1314</v>
      </c>
      <c r="D936" s="204">
        <v>0</v>
      </c>
      <c r="E936" s="201" t="s">
        <v>1322</v>
      </c>
      <c r="F936" s="200"/>
      <c r="G936" s="200"/>
      <c r="H936" s="199">
        <v>39569</v>
      </c>
      <c r="I936" s="197" t="str">
        <f>B936&amp;" "&amp;G936</f>
        <v xml:space="preserve">Truck, Line </v>
      </c>
    </row>
    <row r="937" spans="1:9">
      <c r="A937" s="203"/>
      <c r="B937" s="201"/>
      <c r="C937" s="200"/>
      <c r="D937" s="202"/>
      <c r="E937" s="201"/>
      <c r="F937" s="200"/>
      <c r="G937" s="200"/>
      <c r="H937" s="199"/>
      <c r="I937" s="197" t="str">
        <f t="shared" ref="I937:I955" si="29">B937&amp;" "&amp;F937</f>
        <v xml:space="preserve"> </v>
      </c>
    </row>
    <row r="938" spans="1:9">
      <c r="A938" s="203"/>
      <c r="B938" s="201"/>
      <c r="C938" s="200"/>
      <c r="D938" s="202"/>
      <c r="E938" s="201"/>
      <c r="F938" s="200"/>
      <c r="G938" s="200"/>
      <c r="H938" s="199"/>
      <c r="I938" s="197" t="str">
        <f t="shared" si="29"/>
        <v xml:space="preserve"> </v>
      </c>
    </row>
    <row r="939" spans="1:9">
      <c r="A939" s="203"/>
      <c r="B939" s="201"/>
      <c r="C939" s="200"/>
      <c r="D939" s="202"/>
      <c r="E939" s="201"/>
      <c r="F939" s="200"/>
      <c r="G939" s="200"/>
      <c r="H939" s="199"/>
      <c r="I939" s="197" t="str">
        <f t="shared" si="29"/>
        <v xml:space="preserve"> </v>
      </c>
    </row>
    <row r="940" spans="1:9">
      <c r="A940" s="203"/>
      <c r="B940" s="201"/>
      <c r="C940" s="200"/>
      <c r="D940" s="202"/>
      <c r="E940" s="201"/>
      <c r="F940" s="200"/>
      <c r="G940" s="200"/>
      <c r="H940" s="199"/>
      <c r="I940" s="197" t="str">
        <f t="shared" si="29"/>
        <v xml:space="preserve"> </v>
      </c>
    </row>
    <row r="941" spans="1:9">
      <c r="A941" s="203"/>
      <c r="B941" s="201"/>
      <c r="C941" s="200"/>
      <c r="D941" s="202"/>
      <c r="E941" s="201"/>
      <c r="F941" s="200"/>
      <c r="G941" s="200"/>
      <c r="H941" s="199"/>
      <c r="I941" s="197" t="str">
        <f t="shared" si="29"/>
        <v xml:space="preserve"> </v>
      </c>
    </row>
    <row r="942" spans="1:9">
      <c r="A942" s="203"/>
      <c r="B942" s="201"/>
      <c r="C942" s="200"/>
      <c r="D942" s="202"/>
      <c r="E942" s="201"/>
      <c r="F942" s="200"/>
      <c r="G942" s="200"/>
      <c r="H942" s="199"/>
      <c r="I942" s="197" t="str">
        <f t="shared" si="29"/>
        <v xml:space="preserve"> </v>
      </c>
    </row>
    <row r="943" spans="1:9">
      <c r="A943" s="203"/>
      <c r="B943" s="201"/>
      <c r="C943" s="200"/>
      <c r="D943" s="202"/>
      <c r="E943" s="201"/>
      <c r="F943" s="200"/>
      <c r="G943" s="200"/>
      <c r="H943" s="199"/>
      <c r="I943" s="197" t="str">
        <f t="shared" si="29"/>
        <v xml:space="preserve"> </v>
      </c>
    </row>
    <row r="944" spans="1:9">
      <c r="A944" s="203"/>
      <c r="B944" s="201"/>
      <c r="C944" s="200"/>
      <c r="D944" s="202"/>
      <c r="E944" s="201"/>
      <c r="F944" s="200"/>
      <c r="G944" s="200"/>
      <c r="H944" s="199"/>
      <c r="I944" s="197" t="str">
        <f t="shared" si="29"/>
        <v xml:space="preserve"> </v>
      </c>
    </row>
    <row r="945" spans="1:9">
      <c r="A945" s="203"/>
      <c r="B945" s="201"/>
      <c r="C945" s="200"/>
      <c r="D945" s="202"/>
      <c r="E945" s="201"/>
      <c r="F945" s="200"/>
      <c r="G945" s="200"/>
      <c r="H945" s="199"/>
      <c r="I945" s="197" t="str">
        <f t="shared" si="29"/>
        <v xml:space="preserve"> </v>
      </c>
    </row>
    <row r="946" spans="1:9">
      <c r="A946" s="203"/>
      <c r="B946" s="201"/>
      <c r="C946" s="200"/>
      <c r="D946" s="202"/>
      <c r="E946" s="201"/>
      <c r="F946" s="200"/>
      <c r="G946" s="200"/>
      <c r="H946" s="199"/>
      <c r="I946" s="197" t="str">
        <f t="shared" si="29"/>
        <v xml:space="preserve"> </v>
      </c>
    </row>
    <row r="947" spans="1:9">
      <c r="A947" s="203"/>
      <c r="B947" s="201"/>
      <c r="C947" s="200"/>
      <c r="D947" s="202"/>
      <c r="E947" s="201"/>
      <c r="F947" s="200"/>
      <c r="G947" s="200"/>
      <c r="H947" s="199"/>
      <c r="I947" s="197" t="str">
        <f t="shared" si="29"/>
        <v xml:space="preserve"> </v>
      </c>
    </row>
    <row r="948" spans="1:9">
      <c r="A948" s="203"/>
      <c r="B948" s="201"/>
      <c r="C948" s="200"/>
      <c r="D948" s="202"/>
      <c r="E948" s="201"/>
      <c r="F948" s="200"/>
      <c r="G948" s="200"/>
      <c r="H948" s="199"/>
      <c r="I948" s="197" t="str">
        <f t="shared" si="29"/>
        <v xml:space="preserve"> </v>
      </c>
    </row>
    <row r="949" spans="1:9">
      <c r="A949" s="203"/>
      <c r="B949" s="201"/>
      <c r="C949" s="200"/>
      <c r="D949" s="202"/>
      <c r="E949" s="201"/>
      <c r="F949" s="200"/>
      <c r="G949" s="200"/>
      <c r="H949" s="199"/>
      <c r="I949" s="197" t="str">
        <f t="shared" si="29"/>
        <v xml:space="preserve"> </v>
      </c>
    </row>
    <row r="950" spans="1:9">
      <c r="A950" s="203"/>
      <c r="B950" s="201"/>
      <c r="C950" s="200"/>
      <c r="D950" s="202"/>
      <c r="E950" s="201"/>
      <c r="F950" s="200"/>
      <c r="G950" s="200"/>
      <c r="H950" s="199"/>
      <c r="I950" s="197" t="str">
        <f t="shared" si="29"/>
        <v xml:space="preserve"> </v>
      </c>
    </row>
    <row r="951" spans="1:9">
      <c r="A951" s="203"/>
      <c r="B951" s="201"/>
      <c r="C951" s="200"/>
      <c r="D951" s="202"/>
      <c r="E951" s="201"/>
      <c r="F951" s="200"/>
      <c r="G951" s="200"/>
      <c r="H951" s="199"/>
      <c r="I951" s="197" t="str">
        <f t="shared" si="29"/>
        <v xml:space="preserve"> </v>
      </c>
    </row>
    <row r="952" spans="1:9">
      <c r="A952" s="203"/>
      <c r="B952" s="201"/>
      <c r="C952" s="200"/>
      <c r="D952" s="202"/>
      <c r="E952" s="201"/>
      <c r="F952" s="200"/>
      <c r="G952" s="200"/>
      <c r="H952" s="199"/>
      <c r="I952" s="197" t="str">
        <f t="shared" si="29"/>
        <v xml:space="preserve"> </v>
      </c>
    </row>
    <row r="953" spans="1:9">
      <c r="A953" s="203"/>
      <c r="B953" s="201"/>
      <c r="C953" s="200"/>
      <c r="D953" s="202"/>
      <c r="E953" s="201"/>
      <c r="F953" s="200"/>
      <c r="G953" s="200"/>
      <c r="H953" s="199"/>
      <c r="I953" s="197" t="str">
        <f t="shared" si="29"/>
        <v xml:space="preserve"> </v>
      </c>
    </row>
    <row r="954" spans="1:9">
      <c r="A954" s="203"/>
      <c r="B954" s="201"/>
      <c r="C954" s="200"/>
      <c r="D954" s="202"/>
      <c r="E954" s="201"/>
      <c r="F954" s="200"/>
      <c r="G954" s="200"/>
      <c r="H954" s="199"/>
      <c r="I954" s="197" t="str">
        <f t="shared" si="29"/>
        <v xml:space="preserve"> </v>
      </c>
    </row>
    <row r="955" spans="1:9">
      <c r="A955" s="203"/>
      <c r="B955" s="201"/>
      <c r="C955" s="200"/>
      <c r="D955" s="202"/>
      <c r="E955" s="201"/>
      <c r="F955" s="200"/>
      <c r="G955" s="200"/>
      <c r="H955" s="199"/>
      <c r="I955" s="197" t="str">
        <f t="shared" si="29"/>
        <v xml:space="preserve"> </v>
      </c>
    </row>
  </sheetData>
  <autoFilter ref="A2:I955"/>
  <mergeCells count="2">
    <mergeCell ref="B1:E1"/>
    <mergeCell ref="F1:H1"/>
  </mergeCell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2050" r:id="rId4" name="CommandButton2">
          <controlPr defaultSize="0" autoLine="0" r:id="rId5">
            <anchor moveWithCells="1">
              <from>
                <xdr:col>0</xdr:col>
                <xdr:colOff>30480</xdr:colOff>
                <xdr:row>0</xdr:row>
                <xdr:rowOff>30480</xdr:rowOff>
              </from>
              <to>
                <xdr:col>0</xdr:col>
                <xdr:colOff>1341120</xdr:colOff>
                <xdr:row>0</xdr:row>
                <xdr:rowOff>342900</xdr:rowOff>
              </to>
            </anchor>
          </controlPr>
        </control>
      </mc:Choice>
      <mc:Fallback>
        <control shapeId="2050" r:id="rId4" name="CommandButton2"/>
      </mc:Fallback>
    </mc:AlternateContent>
    <mc:AlternateContent xmlns:mc="http://schemas.openxmlformats.org/markup-compatibility/2006">
      <mc:Choice Requires="x14">
        <control shapeId="2049" r:id="rId6" name="CommandButton1">
          <controlPr defaultSize="0" autoLine="0" r:id="rId7">
            <anchor moveWithCells="1">
              <from>
                <xdr:col>8</xdr:col>
                <xdr:colOff>76200</xdr:colOff>
                <xdr:row>0</xdr:row>
                <xdr:rowOff>30480</xdr:rowOff>
              </from>
              <to>
                <xdr:col>8</xdr:col>
                <xdr:colOff>1805940</xdr:colOff>
                <xdr:row>0</xdr:row>
                <xdr:rowOff>327660</xdr:rowOff>
              </to>
            </anchor>
          </controlPr>
        </control>
      </mc:Choice>
      <mc:Fallback>
        <control shapeId="2049" r:id="rId6" name="CommandButton1"/>
      </mc:Fallback>
    </mc:AlternateContent>
  </control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34FAAE96EB7FE498C8140677C0414E4" ma:contentTypeVersion="1" ma:contentTypeDescription="Create a new document." ma:contentTypeScope="" ma:versionID="cdf6203b7ebad34f5fdffb1bb2b4d9be">
  <xsd:schema xmlns:xsd="http://www.w3.org/2001/XMLSchema" xmlns:xs="http://www.w3.org/2001/XMLSchema" xmlns:p="http://schemas.microsoft.com/office/2006/metadata/properties" xmlns:ns2="http://schemas.microsoft.com/sharepoint/v4" targetNamespace="http://schemas.microsoft.com/office/2006/metadata/properties" ma:root="true" ma:fieldsID="c79c8594d4fa4c9fd200c91a62336472" ns2:_="">
    <xsd:import namespace="http://schemas.microsoft.com/sharepoint/v4"/>
    <xsd:element name="properties">
      <xsd:complexType>
        <xsd:sequence>
          <xsd:element name="documentManagement">
            <xsd:complexType>
              <xsd:all>
                <xsd:element ref="ns2: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8"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documentManagement>
    <IconOverlay xmlns="http://schemas.microsoft.com/sharepoint/v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7C13E37-AC02-49E3-9E76-AFE3A620BC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88E4FA2-C876-451D-ABF9-F38494A2940D}">
  <ds:schemaRefs>
    <ds:schemaRef ds:uri="http://schemas.microsoft.com/office/2006/documentManagement/types"/>
    <ds:schemaRef ds:uri="http://schemas.openxmlformats.org/package/2006/metadata/core-properties"/>
    <ds:schemaRef ds:uri="http://purl.org/dc/dcmitype/"/>
    <ds:schemaRef ds:uri="http://schemas.microsoft.com/sharepoint/v4"/>
    <ds:schemaRef ds:uri="http://schemas.microsoft.com/office/infopath/2007/PartnerControls"/>
    <ds:schemaRef ds:uri="http://purl.org/dc/terms/"/>
    <ds:schemaRef ds:uri="http://schemas.microsoft.com/office/2006/metadata/properties"/>
    <ds:schemaRef ds:uri="http://www.w3.org/XML/1998/namespace"/>
    <ds:schemaRef ds:uri="http://purl.org/dc/elements/1.1/"/>
  </ds:schemaRefs>
</ds:datastoreItem>
</file>

<file path=customXml/itemProps3.xml><?xml version="1.0" encoding="utf-8"?>
<ds:datastoreItem xmlns:ds="http://schemas.openxmlformats.org/officeDocument/2006/customXml" ds:itemID="{CA58EB58-8F71-4608-9E16-3FE14AC2CB1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19</vt:i4>
      </vt:variant>
    </vt:vector>
  </HeadingPairs>
  <TitlesOfParts>
    <vt:vector size="29" baseType="lpstr">
      <vt:lpstr>Estimate</vt:lpstr>
      <vt:lpstr>Summary Sheet</vt:lpstr>
      <vt:lpstr>Bosque Co</vt:lpstr>
      <vt:lpstr>Bosque Co (2)</vt:lpstr>
      <vt:lpstr>Clifton</vt:lpstr>
      <vt:lpstr>Clifton(2)</vt:lpstr>
      <vt:lpstr>Valley Mills</vt:lpstr>
      <vt:lpstr>S6</vt:lpstr>
      <vt:lpstr>Time Calc</vt:lpstr>
      <vt:lpstr>FEMAcostcodes</vt:lpstr>
      <vt:lpstr>FEMAcostcodes!FEMACC</vt:lpstr>
      <vt:lpstr>FEMAcostcodes!FEMACCD</vt:lpstr>
      <vt:lpstr>FEMAcostcodes!FEMACCR</vt:lpstr>
      <vt:lpstr>FEMAcostcodes!FEMACCU</vt:lpstr>
      <vt:lpstr>FEMAcostcodes!femacode</vt:lpstr>
      <vt:lpstr>FEMAcostcodes!FEMAEC</vt:lpstr>
      <vt:lpstr>FEMAcostcodes!FEMAECODE</vt:lpstr>
      <vt:lpstr>FEMAcostcodes!FEMAEHP</vt:lpstr>
      <vt:lpstr>FEMAcostcodes!FEMAEN</vt:lpstr>
      <vt:lpstr>FEMAcostcodes!FEMAER</vt:lpstr>
      <vt:lpstr>FEMAcostcodes!FEMAES</vt:lpstr>
      <vt:lpstr>'Bosque Co'!Print_Area</vt:lpstr>
      <vt:lpstr>'Bosque Co (2)'!Print_Area</vt:lpstr>
      <vt:lpstr>Clifton!Print_Area</vt:lpstr>
      <vt:lpstr>'Clifton(2)'!Print_Area</vt:lpstr>
      <vt:lpstr>Estimate!Print_Area</vt:lpstr>
      <vt:lpstr>'S6'!Print_Area</vt:lpstr>
      <vt:lpstr>'Summary Sheet'!Print_Area</vt:lpstr>
      <vt:lpstr>'Valley Mills'!Print_Area</vt:lpstr>
    </vt:vector>
  </TitlesOfParts>
  <Company>FEMA Region VII</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FEMA</dc:creator>
  <cp:lastModifiedBy>Lansford, Vernon</cp:lastModifiedBy>
  <cp:lastPrinted>2015-05-27T19:18:05Z</cp:lastPrinted>
  <dcterms:created xsi:type="dcterms:W3CDTF">2000-06-27T13:20:49Z</dcterms:created>
  <dcterms:modified xsi:type="dcterms:W3CDTF">2016-07-11T21:48:12Z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0x010100134FAAE96EB7FE498C8140677C0414E4</vt:lpwstr>
  </property>
</Properties>
</file>